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K" sheetId="1" r:id="rId5"/>
    <sheet state="visible" name="MF" sheetId="2" r:id="rId6"/>
    <sheet state="visible" name="DEF" sheetId="3" r:id="rId7"/>
    <sheet state="visible" name="ATT" sheetId="4" r:id="rId8"/>
  </sheets>
  <definedNames/>
  <calcPr/>
</workbook>
</file>

<file path=xl/sharedStrings.xml><?xml version="1.0" encoding="utf-8"?>
<sst xmlns="http://schemas.openxmlformats.org/spreadsheetml/2006/main" count="648" uniqueCount="262">
  <si>
    <t>SR. NO.</t>
  </si>
  <si>
    <t xml:space="preserve">SR. NO. </t>
  </si>
  <si>
    <t>NAME</t>
  </si>
  <si>
    <t>POSITION</t>
  </si>
  <si>
    <t>PASSING</t>
  </si>
  <si>
    <t>PACE</t>
  </si>
  <si>
    <t>DEFENSE</t>
  </si>
  <si>
    <t xml:space="preserve">POSITION </t>
  </si>
  <si>
    <t>PHYSICAL</t>
  </si>
  <si>
    <t>HANDLING</t>
  </si>
  <si>
    <t>DRIBBLING</t>
  </si>
  <si>
    <t>TOTAL</t>
  </si>
  <si>
    <t>STAMINA</t>
  </si>
  <si>
    <t>DIVING</t>
  </si>
  <si>
    <t>BASE PRICE</t>
  </si>
  <si>
    <t>NATIONAL</t>
  </si>
  <si>
    <t>CLUB</t>
  </si>
  <si>
    <t>KICKING</t>
  </si>
  <si>
    <t xml:space="preserve">BASE PRICE </t>
  </si>
  <si>
    <t>SHOOTING</t>
  </si>
  <si>
    <t>Gianlugi Donnarumma</t>
  </si>
  <si>
    <t>GK</t>
  </si>
  <si>
    <t>Virgil Van Dijk</t>
  </si>
  <si>
    <t>Mohammed Salah</t>
  </si>
  <si>
    <t>DEF</t>
  </si>
  <si>
    <t>MF</t>
  </si>
  <si>
    <t>NETHERLANDS</t>
  </si>
  <si>
    <t>Liverpool FC</t>
  </si>
  <si>
    <t>ITALY</t>
  </si>
  <si>
    <t>Manchester City FC</t>
  </si>
  <si>
    <t>EGYPT</t>
  </si>
  <si>
    <t>Achraf Hakimi</t>
  </si>
  <si>
    <t>Alisson Becker</t>
  </si>
  <si>
    <t>Rodri</t>
  </si>
  <si>
    <t>MOROCCO</t>
  </si>
  <si>
    <t>Paris Saint German</t>
  </si>
  <si>
    <t>SPAIN</t>
  </si>
  <si>
    <t xml:space="preserve">Gabriel </t>
  </si>
  <si>
    <t>BRAZIL</t>
  </si>
  <si>
    <t>Jude Bellingham</t>
  </si>
  <si>
    <t>Kylian Mbappe</t>
  </si>
  <si>
    <t>Thibaut Courtois</t>
  </si>
  <si>
    <t>ATT</t>
  </si>
  <si>
    <t>Arsenal</t>
  </si>
  <si>
    <t>Alessandro Bastoni</t>
  </si>
  <si>
    <t>ENGLAND</t>
  </si>
  <si>
    <t>Real Madrid</t>
  </si>
  <si>
    <t>BELGIUM</t>
  </si>
  <si>
    <t>Jan Oblak</t>
  </si>
  <si>
    <t>Raphinha</t>
  </si>
  <si>
    <t>Inter Milan</t>
  </si>
  <si>
    <t>Marquinhos</t>
  </si>
  <si>
    <t>FC Barcelona</t>
  </si>
  <si>
    <t>SLOVENIA</t>
  </si>
  <si>
    <t>Atletico Madrid</t>
  </si>
  <si>
    <t>Lamine Yamal</t>
  </si>
  <si>
    <t>David Raya</t>
  </si>
  <si>
    <t>FRANCE</t>
  </si>
  <si>
    <t>Jules Kounde</t>
  </si>
  <si>
    <t>Ousmane Dembele</t>
  </si>
  <si>
    <t>Vitinha</t>
  </si>
  <si>
    <t>Marc-Andre ter Stegen</t>
  </si>
  <si>
    <t>William Saliba</t>
  </si>
  <si>
    <t>PORTUGAL</t>
  </si>
  <si>
    <t>GERMANY</t>
  </si>
  <si>
    <t xml:space="preserve">Arsenal </t>
  </si>
  <si>
    <t>Ajax</t>
  </si>
  <si>
    <t>Pedri</t>
  </si>
  <si>
    <t>Erling Haaland</t>
  </si>
  <si>
    <t>Gregor Kobel</t>
  </si>
  <si>
    <t>Nuno Mendes</t>
  </si>
  <si>
    <t>NORWAY</t>
  </si>
  <si>
    <t>Joshua Kimmich</t>
  </si>
  <si>
    <t>SWITZERLAND</t>
  </si>
  <si>
    <t>Borussia Dortmund</t>
  </si>
  <si>
    <t>Harry Kane</t>
  </si>
  <si>
    <t>Antonio Rudiger</t>
  </si>
  <si>
    <t>Ederson</t>
  </si>
  <si>
    <t>FC Bayern Munich</t>
  </si>
  <si>
    <t>Trent Alexander Arnold</t>
  </si>
  <si>
    <t>Vini Jr</t>
  </si>
  <si>
    <t>Federico Valverde</t>
  </si>
  <si>
    <t xml:space="preserve">Fenerbahçe SK </t>
  </si>
  <si>
    <t>Emiliano Martinez</t>
  </si>
  <si>
    <t>URUGUAY</t>
  </si>
  <si>
    <t>Ruben Dias</t>
  </si>
  <si>
    <t>Robert Lewandowski</t>
  </si>
  <si>
    <t>ARGENTINA</t>
  </si>
  <si>
    <t>Aston Villa FC</t>
  </si>
  <si>
    <t>Florian Wirtz</t>
  </si>
  <si>
    <t>David De Gea</t>
  </si>
  <si>
    <t>Ibrahim Konate</t>
  </si>
  <si>
    <t>POLAND</t>
  </si>
  <si>
    <t>Lautaro Martinez</t>
  </si>
  <si>
    <t>Jamal Musiala</t>
  </si>
  <si>
    <t>ACF Fiorentina</t>
  </si>
  <si>
    <t>Jordan Pickford</t>
  </si>
  <si>
    <t>Dani Carvajal</t>
  </si>
  <si>
    <t>Alexander Isak</t>
  </si>
  <si>
    <t>Cole Palmer</t>
  </si>
  <si>
    <t>Everton FC</t>
  </si>
  <si>
    <t>Marcos Llorente</t>
  </si>
  <si>
    <t>Wojciech Szczesny</t>
  </si>
  <si>
    <t>Chelsea FC</t>
  </si>
  <si>
    <t>SWEDEN</t>
  </si>
  <si>
    <t>Liverpool</t>
  </si>
  <si>
    <t>Kevin de Bruyne</t>
  </si>
  <si>
    <t>Bukayo Saka</t>
  </si>
  <si>
    <t>Joao Cancelo</t>
  </si>
  <si>
    <t>Manual Neuer</t>
  </si>
  <si>
    <t>Napoli</t>
  </si>
  <si>
    <t>Frenkie de Jong</t>
  </si>
  <si>
    <t>Khvicha Kvaratskhelia</t>
  </si>
  <si>
    <t>Denzel Dumfries</t>
  </si>
  <si>
    <t>Bayern Munchen</t>
  </si>
  <si>
    <t>GEORGIA</t>
  </si>
  <si>
    <t>Paris Saint-Germain</t>
  </si>
  <si>
    <t>Diogo Costa</t>
  </si>
  <si>
    <t>Declan Rice</t>
  </si>
  <si>
    <t>Julian Alvarez</t>
  </si>
  <si>
    <t>Marc Cucurella</t>
  </si>
  <si>
    <t>FC Porto</t>
  </si>
  <si>
    <t>Atletico de Madrid</t>
  </si>
  <si>
    <t>Joan Garcia</t>
  </si>
  <si>
    <t>Bruno Fernandes</t>
  </si>
  <si>
    <t>Benjamin Pavard</t>
  </si>
  <si>
    <t>Viktor Gyokeres</t>
  </si>
  <si>
    <t>Manchester United</t>
  </si>
  <si>
    <t>Iker Casillas</t>
  </si>
  <si>
    <t>Martin Odegaard</t>
  </si>
  <si>
    <t>Victor Osimhen</t>
  </si>
  <si>
    <t>Eder Militao</t>
  </si>
  <si>
    <t>NIGERIA</t>
  </si>
  <si>
    <t>Galatasaray S.K.</t>
  </si>
  <si>
    <t>Real Madrid, Porto</t>
  </si>
  <si>
    <t>Lionel Messi</t>
  </si>
  <si>
    <t xml:space="preserve">Pedro Porro </t>
  </si>
  <si>
    <t>Nicolo Barella</t>
  </si>
  <si>
    <t>Edwin Van Der Sar</t>
  </si>
  <si>
    <t>Inter Miami</t>
  </si>
  <si>
    <t>Totenham Hotspurs</t>
  </si>
  <si>
    <t>Antoine Griezmann</t>
  </si>
  <si>
    <t>Ajax, Juventus, Fulham, Manchester United</t>
  </si>
  <si>
    <t>Michael Olise</t>
  </si>
  <si>
    <t>David Alaba</t>
  </si>
  <si>
    <t>AUSTRIA</t>
  </si>
  <si>
    <t xml:space="preserve">Cristiano Ronaldo </t>
  </si>
  <si>
    <t>Andrew Robertson</t>
  </si>
  <si>
    <t>Paulo Dybala</t>
  </si>
  <si>
    <t>Al Nassr</t>
  </si>
  <si>
    <t>SCOTLAND</t>
  </si>
  <si>
    <t>Desire Doue</t>
  </si>
  <si>
    <t>AS Roma</t>
  </si>
  <si>
    <t>Nico Williams</t>
  </si>
  <si>
    <t>Mickey van de Ven</t>
  </si>
  <si>
    <t>Marcus Thuram</t>
  </si>
  <si>
    <t>Athletic Club</t>
  </si>
  <si>
    <t>Joao Neves</t>
  </si>
  <si>
    <t>Dean Huijsen</t>
  </si>
  <si>
    <t>N'Golo Kante</t>
  </si>
  <si>
    <t>Matthijs De Ligt</t>
  </si>
  <si>
    <t>Fenerbahçe SK</t>
  </si>
  <si>
    <t>Luis Diaz</t>
  </si>
  <si>
    <t>Pau Cubarsi</t>
  </si>
  <si>
    <t>Heung Min Son</t>
  </si>
  <si>
    <t>COLOMBIA</t>
  </si>
  <si>
    <t>SOUTH KOREA</t>
  </si>
  <si>
    <t>Los Angeles FC</t>
  </si>
  <si>
    <t>Dani Olmo</t>
  </si>
  <si>
    <t>Nicolas Otamendi</t>
  </si>
  <si>
    <t xml:space="preserve">Phil Foden </t>
  </si>
  <si>
    <t>River Plate</t>
  </si>
  <si>
    <t>Rodrigo de Paul</t>
  </si>
  <si>
    <t>Nacho Fernandez</t>
  </si>
  <si>
    <t xml:space="preserve">Karim Benzema </t>
  </si>
  <si>
    <t>Al Qadsiah</t>
  </si>
  <si>
    <t>Al Hilal</t>
  </si>
  <si>
    <t>Aurelien Tchouameni</t>
  </si>
  <si>
    <t xml:space="preserve">Lisandro Martinez </t>
  </si>
  <si>
    <t>Rodrygo</t>
  </si>
  <si>
    <t>Enzo Fernandez</t>
  </si>
  <si>
    <t>Ferland Mendy</t>
  </si>
  <si>
    <t>Rafael Leao</t>
  </si>
  <si>
    <t>AC Milan</t>
  </si>
  <si>
    <t>Alvaro Carreras</t>
  </si>
  <si>
    <t>Bernardo Silva</t>
  </si>
  <si>
    <t>Romelu Lukaku</t>
  </si>
  <si>
    <t xml:space="preserve">Pau Torres </t>
  </si>
  <si>
    <t>Isco</t>
  </si>
  <si>
    <t>Bradley Barcola</t>
  </si>
  <si>
    <t>Aston Villa</t>
  </si>
  <si>
    <t>Real Betis</t>
  </si>
  <si>
    <t>Diego Llorente</t>
  </si>
  <si>
    <t>Dominik Szoboszlai</t>
  </si>
  <si>
    <t>Alexander Sorloth</t>
  </si>
  <si>
    <t>HUNGARY</t>
  </si>
  <si>
    <t>Ferran Torres</t>
  </si>
  <si>
    <t>Harry Maguire</t>
  </si>
  <si>
    <t>Kai Havertz</t>
  </si>
  <si>
    <t>Alphonso Davies</t>
  </si>
  <si>
    <t>Luka Modric</t>
  </si>
  <si>
    <t>CANADA</t>
  </si>
  <si>
    <t>CROATIA</t>
  </si>
  <si>
    <t>Angel Di Maria</t>
  </si>
  <si>
    <t>Alejandro Balde</t>
  </si>
  <si>
    <t>Gavi</t>
  </si>
  <si>
    <t>Rosario Central</t>
  </si>
  <si>
    <t>Pierre-Emerick Aubameyang</t>
  </si>
  <si>
    <t>Ronald Araujo</t>
  </si>
  <si>
    <t>Ilkay Gundogan</t>
  </si>
  <si>
    <t>GABON</t>
  </si>
  <si>
    <t>Olympique de Marseille</t>
  </si>
  <si>
    <t>Benjamin Sesko</t>
  </si>
  <si>
    <t>Jonathan Tah</t>
  </si>
  <si>
    <t>Andres Iniesta</t>
  </si>
  <si>
    <t>Jadon Sancho</t>
  </si>
  <si>
    <t>Jeremie Frimpong</t>
  </si>
  <si>
    <t>Zinedine Zidane</t>
  </si>
  <si>
    <t>Juventus, Real Madrid</t>
  </si>
  <si>
    <t>Luis Suarez</t>
  </si>
  <si>
    <t>David Beckham</t>
  </si>
  <si>
    <t>Inigo Martinez</t>
  </si>
  <si>
    <t>Manchester United, Real Madrid, AC Milan, Paris Saint-Germain</t>
  </si>
  <si>
    <t>Johan Cruyff</t>
  </si>
  <si>
    <t>Cristian Romero</t>
  </si>
  <si>
    <t>Neymar Jr</t>
  </si>
  <si>
    <t>Ajax, FC Barcelona, Feyenoord</t>
  </si>
  <si>
    <t>Santos FC</t>
  </si>
  <si>
    <t>Lucas Hernandez</t>
  </si>
  <si>
    <t>Ronaldinho</t>
  </si>
  <si>
    <t>Paris Saint German, FC Barcelona, AC Milan, Flamengo, Atletico Mineiro</t>
  </si>
  <si>
    <t>Diogo Dalot</t>
  </si>
  <si>
    <t>Gareth Bale</t>
  </si>
  <si>
    <t>WALES</t>
  </si>
  <si>
    <t>Southampton FC, Tottenham Hotspur, Real Madrid, Los Angeles FC</t>
  </si>
  <si>
    <t>Kyle Walker</t>
  </si>
  <si>
    <t>Burnley FC</t>
  </si>
  <si>
    <t>Wayne Rooney</t>
  </si>
  <si>
    <t>Luke Shaw</t>
  </si>
  <si>
    <t>Everton, Manchester United</t>
  </si>
  <si>
    <t>Thierry Henry</t>
  </si>
  <si>
    <t>Eric Garcia</t>
  </si>
  <si>
    <t>AS Monaco, Juventus, Arsenal, FC Barcelona</t>
  </si>
  <si>
    <t>Jordi Alba</t>
  </si>
  <si>
    <t>Renato Viega</t>
  </si>
  <si>
    <t>Villareal FC</t>
  </si>
  <si>
    <t>Raul Asencio</t>
  </si>
  <si>
    <t>Fikayo Tomori</t>
  </si>
  <si>
    <t>Daniel Munoz</t>
  </si>
  <si>
    <t>Crystal Palace FC</t>
  </si>
  <si>
    <t>Reece James</t>
  </si>
  <si>
    <t>Kim Min Jae</t>
  </si>
  <si>
    <t>Sergio Ramos</t>
  </si>
  <si>
    <t>Sevilla, Real Madrid, Paris Saint German, Monterrey</t>
  </si>
  <si>
    <t>Paulo Maldini</t>
  </si>
  <si>
    <t>Marcelo</t>
  </si>
  <si>
    <t>Fluminense, Real Madrid, Olympiacos</t>
  </si>
  <si>
    <t>Roberto Carlos</t>
  </si>
  <si>
    <t>Palmeiras, Inter Milan, Real Madrid, Fenerbahce</t>
  </si>
  <si>
    <t>Dani Alves</t>
  </si>
  <si>
    <t>Bahia, Sevilla, FC Barcelona, Juventus, Paris Saint German, Sao Paulo, UNAM pumas</t>
  </si>
  <si>
    <t xml:space="preserve">Carles Puyol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</si>
</sst>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32.25"/>
    <col customWidth="1" min="3" max="6" width="12.63"/>
    <col customWidth="1" min="9" max="9" width="16.63"/>
    <col customWidth="1" min="10" max="10" width="34.13"/>
  </cols>
  <sheetData>
    <row r="1" ht="15.75" customHeight="1">
      <c r="A1" s="1" t="s">
        <v>1</v>
      </c>
      <c r="B1" s="1" t="s">
        <v>2</v>
      </c>
      <c r="C1" s="1" t="s">
        <v>7</v>
      </c>
      <c r="D1" s="1" t="s">
        <v>9</v>
      </c>
      <c r="E1" s="1" t="s">
        <v>13</v>
      </c>
      <c r="F1" s="1" t="s">
        <v>17</v>
      </c>
      <c r="G1" s="3" t="s">
        <v>11</v>
      </c>
      <c r="H1" s="3" t="s">
        <v>18</v>
      </c>
      <c r="I1" s="3" t="s">
        <v>15</v>
      </c>
      <c r="J1" s="3" t="s">
        <v>16</v>
      </c>
    </row>
    <row r="2" ht="15.75" customHeight="1">
      <c r="A2" s="1">
        <v>1.0</v>
      </c>
      <c r="B2" s="1" t="s">
        <v>20</v>
      </c>
      <c r="C2" s="1" t="s">
        <v>21</v>
      </c>
      <c r="D2" s="1">
        <v>83.0</v>
      </c>
      <c r="E2" s="1">
        <v>90.0</v>
      </c>
      <c r="F2" s="1">
        <v>70.0</v>
      </c>
      <c r="G2" s="4">
        <f t="shared" ref="G2:G18" si="1">D2+E2+F2</f>
        <v>243</v>
      </c>
      <c r="H2" s="3">
        <v>50.0</v>
      </c>
      <c r="I2" s="3" t="s">
        <v>28</v>
      </c>
      <c r="J2" s="3" t="s">
        <v>29</v>
      </c>
    </row>
    <row r="3" ht="15.75" customHeight="1">
      <c r="A3" s="1">
        <v>2.0</v>
      </c>
      <c r="B3" s="2" t="s">
        <v>32</v>
      </c>
      <c r="C3" s="1" t="s">
        <v>21</v>
      </c>
      <c r="D3" s="1">
        <v>85.0</v>
      </c>
      <c r="E3" s="1">
        <v>86.0</v>
      </c>
      <c r="F3" s="1">
        <v>86.0</v>
      </c>
      <c r="G3" s="4">
        <f t="shared" si="1"/>
        <v>257</v>
      </c>
      <c r="H3" s="3">
        <v>40.0</v>
      </c>
      <c r="I3" s="3" t="s">
        <v>38</v>
      </c>
      <c r="J3" s="3" t="s">
        <v>27</v>
      </c>
    </row>
    <row r="4" ht="15.75" customHeight="1">
      <c r="A4" s="1">
        <v>3.0</v>
      </c>
      <c r="B4" s="1" t="s">
        <v>41</v>
      </c>
      <c r="C4" s="1" t="s">
        <v>21</v>
      </c>
      <c r="D4" s="1">
        <v>89.0</v>
      </c>
      <c r="E4" s="1">
        <v>85.0</v>
      </c>
      <c r="F4" s="1">
        <v>76.0</v>
      </c>
      <c r="G4" s="4">
        <f t="shared" si="1"/>
        <v>250</v>
      </c>
      <c r="H4" s="3">
        <v>50.0</v>
      </c>
      <c r="I4" s="3" t="s">
        <v>47</v>
      </c>
      <c r="J4" s="3" t="s">
        <v>46</v>
      </c>
    </row>
    <row r="5" ht="15.75" customHeight="1">
      <c r="A5" s="1">
        <v>4.0</v>
      </c>
      <c r="B5" s="1" t="s">
        <v>48</v>
      </c>
      <c r="C5" s="1" t="s">
        <v>21</v>
      </c>
      <c r="D5" s="1">
        <v>90.0</v>
      </c>
      <c r="E5" s="1">
        <v>85.0</v>
      </c>
      <c r="F5" s="1">
        <v>78.0</v>
      </c>
      <c r="G5" s="4">
        <f t="shared" si="1"/>
        <v>253</v>
      </c>
      <c r="H5" s="3">
        <v>30.0</v>
      </c>
      <c r="I5" s="3" t="s">
        <v>53</v>
      </c>
      <c r="J5" s="3" t="s">
        <v>54</v>
      </c>
    </row>
    <row r="6" ht="15.75" customHeight="1">
      <c r="A6" s="2">
        <v>5.0</v>
      </c>
      <c r="B6" s="1" t="s">
        <v>56</v>
      </c>
      <c r="C6" s="1" t="s">
        <v>21</v>
      </c>
      <c r="D6" s="1">
        <v>84.0</v>
      </c>
      <c r="E6" s="1">
        <v>86.0</v>
      </c>
      <c r="F6" s="1">
        <v>87.0</v>
      </c>
      <c r="G6" s="4">
        <f t="shared" si="1"/>
        <v>257</v>
      </c>
      <c r="H6" s="3">
        <v>30.0</v>
      </c>
      <c r="I6" s="3" t="s">
        <v>36</v>
      </c>
      <c r="J6" s="3" t="s">
        <v>43</v>
      </c>
    </row>
    <row r="7" ht="15.75" customHeight="1">
      <c r="A7" s="2">
        <v>6.0</v>
      </c>
      <c r="B7" s="1" t="s">
        <v>61</v>
      </c>
      <c r="C7" s="1" t="s">
        <v>21</v>
      </c>
      <c r="D7" s="1">
        <v>84.0</v>
      </c>
      <c r="E7" s="1">
        <v>84.0</v>
      </c>
      <c r="F7" s="1">
        <v>89.0</v>
      </c>
      <c r="G7" s="4">
        <f t="shared" si="1"/>
        <v>257</v>
      </c>
      <c r="H7" s="3">
        <v>40.0</v>
      </c>
      <c r="I7" s="3" t="s">
        <v>64</v>
      </c>
      <c r="J7" s="3" t="s">
        <v>66</v>
      </c>
    </row>
    <row r="8" ht="15.75" customHeight="1">
      <c r="A8" s="2">
        <v>7.0</v>
      </c>
      <c r="B8" s="1" t="s">
        <v>69</v>
      </c>
      <c r="C8" s="1" t="s">
        <v>21</v>
      </c>
      <c r="D8" s="1">
        <v>83.0</v>
      </c>
      <c r="E8" s="1">
        <v>87.0</v>
      </c>
      <c r="F8" s="1">
        <v>64.0</v>
      </c>
      <c r="G8" s="4">
        <f t="shared" si="1"/>
        <v>234</v>
      </c>
      <c r="H8" s="3">
        <v>5.0</v>
      </c>
      <c r="I8" s="3" t="s">
        <v>73</v>
      </c>
      <c r="J8" s="3" t="s">
        <v>74</v>
      </c>
    </row>
    <row r="9" ht="15.75" customHeight="1">
      <c r="A9" s="2">
        <v>8.0</v>
      </c>
      <c r="B9" s="1" t="s">
        <v>77</v>
      </c>
      <c r="C9" s="1" t="s">
        <v>21</v>
      </c>
      <c r="D9" s="1">
        <v>82.0</v>
      </c>
      <c r="E9" s="1">
        <v>83.0</v>
      </c>
      <c r="F9" s="1">
        <v>91.0</v>
      </c>
      <c r="G9" s="4">
        <f t="shared" si="1"/>
        <v>256</v>
      </c>
      <c r="H9" s="3">
        <v>30.0</v>
      </c>
      <c r="I9" s="3" t="s">
        <v>38</v>
      </c>
      <c r="J9" s="3" t="s">
        <v>82</v>
      </c>
    </row>
    <row r="10" ht="15.75" customHeight="1">
      <c r="A10" s="2">
        <v>9.0</v>
      </c>
      <c r="B10" s="1" t="s">
        <v>83</v>
      </c>
      <c r="C10" s="1" t="s">
        <v>21</v>
      </c>
      <c r="D10" s="1">
        <v>82.0</v>
      </c>
      <c r="E10" s="1">
        <v>83.0</v>
      </c>
      <c r="F10" s="1">
        <v>82.0</v>
      </c>
      <c r="G10" s="4">
        <f t="shared" si="1"/>
        <v>247</v>
      </c>
      <c r="H10" s="3">
        <v>40.0</v>
      </c>
      <c r="I10" s="3" t="s">
        <v>87</v>
      </c>
      <c r="J10" s="3" t="s">
        <v>88</v>
      </c>
    </row>
    <row r="11" ht="15.75" customHeight="1">
      <c r="A11" s="2">
        <v>10.0</v>
      </c>
      <c r="B11" s="1" t="s">
        <v>90</v>
      </c>
      <c r="C11" s="1" t="s">
        <v>21</v>
      </c>
      <c r="D11" s="1">
        <v>78.0</v>
      </c>
      <c r="E11" s="1">
        <v>85.0</v>
      </c>
      <c r="F11" s="1">
        <v>71.0</v>
      </c>
      <c r="G11" s="4">
        <f t="shared" si="1"/>
        <v>234</v>
      </c>
      <c r="H11" s="3">
        <v>50.0</v>
      </c>
      <c r="I11" s="3" t="s">
        <v>36</v>
      </c>
      <c r="J11" s="3" t="s">
        <v>95</v>
      </c>
    </row>
    <row r="12" ht="15.75" customHeight="1">
      <c r="A12" s="2">
        <v>11.0</v>
      </c>
      <c r="B12" s="1" t="s">
        <v>96</v>
      </c>
      <c r="C12" s="1" t="s">
        <v>21</v>
      </c>
      <c r="D12" s="1">
        <v>78.0</v>
      </c>
      <c r="E12" s="1">
        <v>84.0</v>
      </c>
      <c r="F12" s="1">
        <v>88.0</v>
      </c>
      <c r="G12" s="4">
        <f t="shared" si="1"/>
        <v>250</v>
      </c>
      <c r="H12" s="3">
        <v>30.0</v>
      </c>
      <c r="I12" s="3" t="s">
        <v>45</v>
      </c>
      <c r="J12" s="3" t="s">
        <v>100</v>
      </c>
    </row>
    <row r="13" ht="15.75" customHeight="1">
      <c r="A13" s="2">
        <v>12.0</v>
      </c>
      <c r="B13" s="1" t="s">
        <v>102</v>
      </c>
      <c r="C13" s="1" t="s">
        <v>21</v>
      </c>
      <c r="D13" s="1">
        <v>83.0</v>
      </c>
      <c r="E13" s="1">
        <v>82.0</v>
      </c>
      <c r="F13" s="1">
        <v>75.0</v>
      </c>
      <c r="G13" s="4">
        <f t="shared" si="1"/>
        <v>240</v>
      </c>
      <c r="H13" s="3">
        <v>20.0</v>
      </c>
      <c r="I13" s="3" t="s">
        <v>92</v>
      </c>
      <c r="J13" s="3" t="s">
        <v>52</v>
      </c>
    </row>
    <row r="14" ht="15.75" customHeight="1">
      <c r="A14" s="2">
        <v>13.0</v>
      </c>
      <c r="B14" s="1" t="s">
        <v>109</v>
      </c>
      <c r="C14" s="1" t="s">
        <v>21</v>
      </c>
      <c r="D14" s="1">
        <v>81.0</v>
      </c>
      <c r="E14" s="1">
        <v>81.0</v>
      </c>
      <c r="F14" s="1">
        <v>90.0</v>
      </c>
      <c r="G14" s="4">
        <f t="shared" si="1"/>
        <v>252</v>
      </c>
      <c r="H14" s="3">
        <v>60.0</v>
      </c>
      <c r="I14" s="3" t="s">
        <v>64</v>
      </c>
      <c r="J14" s="3" t="s">
        <v>114</v>
      </c>
    </row>
    <row r="15" ht="15.75" customHeight="1">
      <c r="A15" s="2">
        <v>14.0</v>
      </c>
      <c r="B15" s="1" t="s">
        <v>117</v>
      </c>
      <c r="C15" s="1" t="s">
        <v>21</v>
      </c>
      <c r="D15" s="1">
        <v>78.0</v>
      </c>
      <c r="E15" s="1">
        <v>83.0</v>
      </c>
      <c r="F15" s="1">
        <v>82.0</v>
      </c>
      <c r="G15" s="4">
        <f t="shared" si="1"/>
        <v>243</v>
      </c>
      <c r="H15" s="3">
        <v>40.0</v>
      </c>
      <c r="I15" s="3" t="s">
        <v>63</v>
      </c>
      <c r="J15" s="3" t="s">
        <v>121</v>
      </c>
    </row>
    <row r="16" ht="15.75" customHeight="1">
      <c r="A16" s="2">
        <v>15.0</v>
      </c>
      <c r="B16" s="1" t="s">
        <v>123</v>
      </c>
      <c r="C16" s="1" t="s">
        <v>21</v>
      </c>
      <c r="D16" s="1">
        <v>82.0</v>
      </c>
      <c r="E16" s="1">
        <v>81.0</v>
      </c>
      <c r="F16" s="1">
        <v>77.0</v>
      </c>
      <c r="G16" s="4">
        <f t="shared" si="1"/>
        <v>240</v>
      </c>
      <c r="H16" s="3">
        <v>30.0</v>
      </c>
      <c r="I16" s="3" t="s">
        <v>36</v>
      </c>
      <c r="J16" s="3" t="s">
        <v>52</v>
      </c>
    </row>
    <row r="17" ht="15.75" customHeight="1">
      <c r="A17" s="2">
        <v>16.0</v>
      </c>
      <c r="B17" s="1" t="s">
        <v>128</v>
      </c>
      <c r="C17" s="1" t="s">
        <v>21</v>
      </c>
      <c r="D17" s="1">
        <v>91.0</v>
      </c>
      <c r="E17" s="1">
        <v>93.0</v>
      </c>
      <c r="F17" s="1">
        <v>88.0</v>
      </c>
      <c r="G17" s="4">
        <f t="shared" si="1"/>
        <v>272</v>
      </c>
      <c r="H17" s="3">
        <v>60.0</v>
      </c>
      <c r="I17" s="3" t="s">
        <v>36</v>
      </c>
      <c r="J17" s="3" t="s">
        <v>134</v>
      </c>
    </row>
    <row r="18" ht="15.75" customHeight="1">
      <c r="A18" s="2">
        <v>17.0</v>
      </c>
      <c r="B18" s="2" t="s">
        <v>138</v>
      </c>
      <c r="C18" s="1" t="s">
        <v>21</v>
      </c>
      <c r="D18" s="1">
        <v>93.0</v>
      </c>
      <c r="E18" s="1">
        <v>95.0</v>
      </c>
      <c r="F18" s="1">
        <v>92.0</v>
      </c>
      <c r="G18" s="4">
        <f t="shared" si="1"/>
        <v>280</v>
      </c>
      <c r="H18" s="3">
        <v>60.0</v>
      </c>
      <c r="I18" s="3" t="s">
        <v>26</v>
      </c>
      <c r="J18" s="3" t="s">
        <v>142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7.38"/>
    <col customWidth="1" min="10" max="10" width="49.13"/>
  </cols>
  <sheetData>
    <row r="1">
      <c r="A1" s="1" t="s">
        <v>0</v>
      </c>
      <c r="B1" s="1" t="s">
        <v>2</v>
      </c>
      <c r="C1" s="1" t="s">
        <v>3</v>
      </c>
      <c r="D1" s="2" t="s">
        <v>4</v>
      </c>
      <c r="E1" s="2" t="s">
        <v>10</v>
      </c>
      <c r="F1" s="2" t="s">
        <v>12</v>
      </c>
      <c r="G1" s="3" t="s">
        <v>11</v>
      </c>
      <c r="H1" s="3" t="s">
        <v>14</v>
      </c>
      <c r="I1" s="3" t="s">
        <v>15</v>
      </c>
      <c r="J1" s="3" t="s">
        <v>16</v>
      </c>
    </row>
    <row r="2">
      <c r="A2" s="3">
        <f t="shared" ref="A2:A39" si="1">ROW()-1</f>
        <v>1</v>
      </c>
      <c r="B2" s="3" t="s">
        <v>23</v>
      </c>
      <c r="C2" s="3" t="s">
        <v>25</v>
      </c>
      <c r="D2" s="3">
        <v>86.0</v>
      </c>
      <c r="E2" s="3">
        <v>90.0</v>
      </c>
      <c r="F2" s="3">
        <v>88.0</v>
      </c>
      <c r="G2" s="4">
        <f t="shared" ref="G2:G39" si="2">SUM(D2:F2)</f>
        <v>264</v>
      </c>
      <c r="H2" s="3">
        <v>40.0</v>
      </c>
      <c r="I2" s="3" t="s">
        <v>30</v>
      </c>
      <c r="J2" s="3" t="s">
        <v>27</v>
      </c>
    </row>
    <row r="3">
      <c r="A3" s="3">
        <f t="shared" si="1"/>
        <v>2</v>
      </c>
      <c r="B3" s="3" t="s">
        <v>33</v>
      </c>
      <c r="C3" s="3" t="s">
        <v>25</v>
      </c>
      <c r="D3" s="3">
        <v>86.0</v>
      </c>
      <c r="E3" s="3">
        <v>84.0</v>
      </c>
      <c r="F3" s="3">
        <v>91.0</v>
      </c>
      <c r="G3" s="4">
        <f t="shared" si="2"/>
        <v>261</v>
      </c>
      <c r="H3" s="3">
        <v>40.0</v>
      </c>
      <c r="I3" s="3" t="s">
        <v>36</v>
      </c>
      <c r="J3" s="3" t="s">
        <v>29</v>
      </c>
    </row>
    <row r="4">
      <c r="A4" s="3">
        <f t="shared" si="1"/>
        <v>3</v>
      </c>
      <c r="B4" s="3" t="s">
        <v>39</v>
      </c>
      <c r="C4" s="3" t="s">
        <v>25</v>
      </c>
      <c r="D4" s="3">
        <v>83.0</v>
      </c>
      <c r="E4" s="3">
        <v>90.0</v>
      </c>
      <c r="F4" s="3">
        <v>94.0</v>
      </c>
      <c r="G4" s="4">
        <f t="shared" si="2"/>
        <v>267</v>
      </c>
      <c r="H4" s="3">
        <v>40.0</v>
      </c>
      <c r="I4" s="3" t="s">
        <v>45</v>
      </c>
      <c r="J4" s="3" t="s">
        <v>46</v>
      </c>
    </row>
    <row r="5">
      <c r="A5" s="3">
        <f t="shared" si="1"/>
        <v>4</v>
      </c>
      <c r="B5" s="3" t="s">
        <v>49</v>
      </c>
      <c r="C5" s="3" t="s">
        <v>25</v>
      </c>
      <c r="D5" s="3">
        <v>85.0</v>
      </c>
      <c r="E5" s="3">
        <v>87.0</v>
      </c>
      <c r="F5" s="3">
        <v>91.0</v>
      </c>
      <c r="G5" s="4">
        <f t="shared" si="2"/>
        <v>263</v>
      </c>
      <c r="H5" s="3">
        <v>40.0</v>
      </c>
      <c r="I5" s="3" t="s">
        <v>38</v>
      </c>
      <c r="J5" s="3" t="s">
        <v>52</v>
      </c>
    </row>
    <row r="6">
      <c r="A6" s="3">
        <f t="shared" si="1"/>
        <v>5</v>
      </c>
      <c r="B6" s="3" t="s">
        <v>55</v>
      </c>
      <c r="C6" s="3" t="s">
        <v>25</v>
      </c>
      <c r="D6" s="3">
        <v>86.0</v>
      </c>
      <c r="E6" s="3">
        <v>90.0</v>
      </c>
      <c r="F6" s="3">
        <v>73.0</v>
      </c>
      <c r="G6" s="4">
        <f t="shared" si="2"/>
        <v>249</v>
      </c>
      <c r="H6" s="3">
        <v>40.0</v>
      </c>
      <c r="I6" s="3" t="s">
        <v>36</v>
      </c>
      <c r="J6" s="3" t="s">
        <v>52</v>
      </c>
    </row>
    <row r="7">
      <c r="A7" s="3">
        <f t="shared" si="1"/>
        <v>6</v>
      </c>
      <c r="B7" s="3" t="s">
        <v>60</v>
      </c>
      <c r="C7" s="3" t="s">
        <v>25</v>
      </c>
      <c r="D7" s="3">
        <v>86.0</v>
      </c>
      <c r="E7" s="3">
        <v>90.0</v>
      </c>
      <c r="F7" s="3">
        <v>87.0</v>
      </c>
      <c r="G7" s="4">
        <f t="shared" si="2"/>
        <v>263</v>
      </c>
      <c r="H7" s="3">
        <v>30.0</v>
      </c>
      <c r="I7" s="3" t="s">
        <v>63</v>
      </c>
      <c r="J7" s="3" t="s">
        <v>35</v>
      </c>
    </row>
    <row r="8">
      <c r="A8" s="3">
        <f t="shared" si="1"/>
        <v>7</v>
      </c>
      <c r="B8" s="3" t="s">
        <v>67</v>
      </c>
      <c r="C8" s="3" t="s">
        <v>25</v>
      </c>
      <c r="D8" s="3">
        <v>85.0</v>
      </c>
      <c r="E8" s="3">
        <v>91.0</v>
      </c>
      <c r="F8" s="3">
        <v>90.0</v>
      </c>
      <c r="G8" s="4">
        <f t="shared" si="2"/>
        <v>266</v>
      </c>
      <c r="H8" s="3">
        <v>40.0</v>
      </c>
      <c r="I8" s="3" t="s">
        <v>36</v>
      </c>
      <c r="J8" s="3" t="s">
        <v>52</v>
      </c>
    </row>
    <row r="9">
      <c r="A9" s="3">
        <f t="shared" si="1"/>
        <v>8</v>
      </c>
      <c r="B9" s="3" t="s">
        <v>72</v>
      </c>
      <c r="C9" s="3" t="s">
        <v>25</v>
      </c>
      <c r="D9" s="3">
        <v>89.0</v>
      </c>
      <c r="E9" s="3">
        <v>84.0</v>
      </c>
      <c r="F9" s="3">
        <v>92.0</v>
      </c>
      <c r="G9" s="4">
        <f t="shared" si="2"/>
        <v>265</v>
      </c>
      <c r="H9" s="3">
        <v>40.0</v>
      </c>
      <c r="I9" s="3" t="s">
        <v>64</v>
      </c>
      <c r="J9" s="3" t="s">
        <v>78</v>
      </c>
    </row>
    <row r="10">
      <c r="A10" s="3">
        <f t="shared" si="1"/>
        <v>9</v>
      </c>
      <c r="B10" s="3" t="s">
        <v>81</v>
      </c>
      <c r="C10" s="3" t="s">
        <v>25</v>
      </c>
      <c r="D10" s="3">
        <v>84.0</v>
      </c>
      <c r="E10" s="3">
        <v>84.0</v>
      </c>
      <c r="F10" s="3">
        <v>93.0</v>
      </c>
      <c r="G10" s="4">
        <f t="shared" si="2"/>
        <v>261</v>
      </c>
      <c r="H10" s="3">
        <v>40.0</v>
      </c>
      <c r="I10" s="3" t="s">
        <v>84</v>
      </c>
      <c r="J10" s="3" t="s">
        <v>46</v>
      </c>
    </row>
    <row r="11">
      <c r="A11" s="3">
        <f t="shared" si="1"/>
        <v>10</v>
      </c>
      <c r="B11" s="3" t="s">
        <v>89</v>
      </c>
      <c r="C11" s="3" t="s">
        <v>25</v>
      </c>
      <c r="D11" s="3">
        <v>88.0</v>
      </c>
      <c r="E11" s="3">
        <v>90.0</v>
      </c>
      <c r="F11" s="3">
        <v>87.0</v>
      </c>
      <c r="G11" s="4">
        <f t="shared" si="2"/>
        <v>265</v>
      </c>
      <c r="H11" s="3">
        <v>40.0</v>
      </c>
      <c r="I11" s="3" t="s">
        <v>64</v>
      </c>
      <c r="J11" s="3" t="s">
        <v>27</v>
      </c>
    </row>
    <row r="12">
      <c r="A12" s="3">
        <f t="shared" si="1"/>
        <v>11</v>
      </c>
      <c r="B12" s="3" t="s">
        <v>94</v>
      </c>
      <c r="C12" s="3" t="s">
        <v>25</v>
      </c>
      <c r="D12" s="3">
        <v>80.0</v>
      </c>
      <c r="E12" s="3">
        <v>90.0</v>
      </c>
      <c r="F12" s="3">
        <v>73.0</v>
      </c>
      <c r="G12" s="4">
        <f t="shared" si="2"/>
        <v>243</v>
      </c>
      <c r="H12" s="3">
        <v>40.0</v>
      </c>
      <c r="I12" s="3" t="s">
        <v>64</v>
      </c>
      <c r="J12" s="3" t="s">
        <v>78</v>
      </c>
    </row>
    <row r="13">
      <c r="A13" s="3">
        <f t="shared" si="1"/>
        <v>12</v>
      </c>
      <c r="B13" s="3" t="s">
        <v>99</v>
      </c>
      <c r="C13" s="3" t="s">
        <v>25</v>
      </c>
      <c r="D13" s="3">
        <v>87.0</v>
      </c>
      <c r="E13" s="3">
        <v>87.0</v>
      </c>
      <c r="F13" s="3">
        <v>83.0</v>
      </c>
      <c r="G13" s="4">
        <f t="shared" si="2"/>
        <v>257</v>
      </c>
      <c r="H13" s="3">
        <v>30.0</v>
      </c>
      <c r="I13" s="3" t="s">
        <v>45</v>
      </c>
      <c r="J13" s="3" t="s">
        <v>103</v>
      </c>
    </row>
    <row r="14">
      <c r="A14" s="3">
        <f t="shared" si="1"/>
        <v>13</v>
      </c>
      <c r="B14" s="3" t="s">
        <v>106</v>
      </c>
      <c r="C14" s="3" t="s">
        <v>25</v>
      </c>
      <c r="D14" s="3">
        <v>92.0</v>
      </c>
      <c r="E14" s="3">
        <v>84.0</v>
      </c>
      <c r="F14" s="3">
        <v>66.0</v>
      </c>
      <c r="G14" s="4">
        <f t="shared" si="2"/>
        <v>242</v>
      </c>
      <c r="H14" s="3">
        <v>50.0</v>
      </c>
      <c r="I14" s="3" t="s">
        <v>47</v>
      </c>
      <c r="J14" s="3" t="s">
        <v>110</v>
      </c>
    </row>
    <row r="15">
      <c r="A15" s="3">
        <f t="shared" si="1"/>
        <v>14</v>
      </c>
      <c r="B15" s="3" t="s">
        <v>111</v>
      </c>
      <c r="C15" s="3" t="s">
        <v>25</v>
      </c>
      <c r="D15" s="3">
        <v>85.0</v>
      </c>
      <c r="E15" s="3">
        <v>87.0</v>
      </c>
      <c r="F15" s="3">
        <v>87.0</v>
      </c>
      <c r="G15" s="4">
        <f t="shared" si="2"/>
        <v>259</v>
      </c>
      <c r="H15" s="3">
        <v>30.0</v>
      </c>
      <c r="I15" s="3" t="s">
        <v>26</v>
      </c>
      <c r="J15" s="3" t="s">
        <v>52</v>
      </c>
    </row>
    <row r="16">
      <c r="A16" s="3">
        <f t="shared" si="1"/>
        <v>15</v>
      </c>
      <c r="B16" s="3" t="s">
        <v>118</v>
      </c>
      <c r="C16" s="3" t="s">
        <v>25</v>
      </c>
      <c r="D16" s="3">
        <v>84.0</v>
      </c>
      <c r="E16" s="3">
        <v>80.0</v>
      </c>
      <c r="F16" s="3">
        <v>92.0</v>
      </c>
      <c r="G16" s="4">
        <f t="shared" si="2"/>
        <v>256</v>
      </c>
      <c r="H16" s="3">
        <v>20.0</v>
      </c>
      <c r="I16" s="3" t="s">
        <v>45</v>
      </c>
      <c r="J16" s="3" t="s">
        <v>43</v>
      </c>
    </row>
    <row r="17">
      <c r="A17" s="3">
        <f t="shared" si="1"/>
        <v>16</v>
      </c>
      <c r="B17" s="3" t="s">
        <v>124</v>
      </c>
      <c r="C17" s="3" t="s">
        <v>25</v>
      </c>
      <c r="D17" s="3">
        <v>89.0</v>
      </c>
      <c r="E17" s="3">
        <v>83.0</v>
      </c>
      <c r="F17" s="3">
        <v>95.0</v>
      </c>
      <c r="G17" s="4">
        <f t="shared" si="2"/>
        <v>267</v>
      </c>
      <c r="H17" s="3">
        <v>40.0</v>
      </c>
      <c r="I17" s="3" t="s">
        <v>63</v>
      </c>
      <c r="J17" s="3" t="s">
        <v>127</v>
      </c>
    </row>
    <row r="18">
      <c r="A18" s="3">
        <f t="shared" si="1"/>
        <v>17</v>
      </c>
      <c r="B18" s="3" t="s">
        <v>129</v>
      </c>
      <c r="C18" s="3" t="s">
        <v>25</v>
      </c>
      <c r="D18" s="3">
        <v>88.0</v>
      </c>
      <c r="E18" s="3">
        <v>87.0</v>
      </c>
      <c r="F18" s="3">
        <v>88.0</v>
      </c>
      <c r="G18" s="4">
        <f t="shared" si="2"/>
        <v>263</v>
      </c>
      <c r="H18" s="3">
        <v>20.0</v>
      </c>
      <c r="I18" s="3" t="s">
        <v>71</v>
      </c>
      <c r="J18" s="3" t="s">
        <v>43</v>
      </c>
    </row>
    <row r="19">
      <c r="A19" s="3">
        <f t="shared" si="1"/>
        <v>18</v>
      </c>
      <c r="B19" s="3" t="s">
        <v>137</v>
      </c>
      <c r="C19" s="3" t="s">
        <v>25</v>
      </c>
      <c r="D19" s="3">
        <v>84.0</v>
      </c>
      <c r="E19" s="3">
        <v>86.0</v>
      </c>
      <c r="F19" s="3">
        <v>89.0</v>
      </c>
      <c r="G19" s="4">
        <f t="shared" si="2"/>
        <v>259</v>
      </c>
      <c r="H19" s="3">
        <v>20.0</v>
      </c>
      <c r="I19" s="3" t="s">
        <v>28</v>
      </c>
      <c r="J19" s="3" t="s">
        <v>50</v>
      </c>
    </row>
    <row r="20">
      <c r="A20" s="3">
        <f t="shared" si="1"/>
        <v>19</v>
      </c>
      <c r="B20" s="3" t="s">
        <v>143</v>
      </c>
      <c r="C20" s="3" t="s">
        <v>25</v>
      </c>
      <c r="D20" s="3">
        <v>84.0</v>
      </c>
      <c r="E20" s="3">
        <v>87.0</v>
      </c>
      <c r="F20" s="3">
        <v>85.0</v>
      </c>
      <c r="G20" s="4">
        <f t="shared" si="2"/>
        <v>256</v>
      </c>
      <c r="H20" s="3">
        <v>30.0</v>
      </c>
      <c r="I20" s="3" t="s">
        <v>57</v>
      </c>
      <c r="J20" s="3" t="s">
        <v>78</v>
      </c>
    </row>
    <row r="21">
      <c r="A21" s="3">
        <f t="shared" si="1"/>
        <v>20</v>
      </c>
      <c r="B21" s="3" t="s">
        <v>148</v>
      </c>
      <c r="C21" s="3" t="s">
        <v>25</v>
      </c>
      <c r="D21" s="3">
        <v>84.0</v>
      </c>
      <c r="E21" s="3">
        <v>87.0</v>
      </c>
      <c r="F21" s="3">
        <v>76.0</v>
      </c>
      <c r="G21" s="4">
        <f t="shared" si="2"/>
        <v>247</v>
      </c>
      <c r="H21" s="3">
        <v>30.0</v>
      </c>
      <c r="I21" s="3" t="s">
        <v>87</v>
      </c>
      <c r="J21" s="3" t="s">
        <v>152</v>
      </c>
    </row>
    <row r="22">
      <c r="A22" s="3">
        <f t="shared" si="1"/>
        <v>21</v>
      </c>
      <c r="B22" s="3" t="s">
        <v>153</v>
      </c>
      <c r="C22" s="3" t="s">
        <v>25</v>
      </c>
      <c r="D22" s="3">
        <v>80.0</v>
      </c>
      <c r="E22" s="3">
        <v>87.0</v>
      </c>
      <c r="F22" s="3">
        <v>81.0</v>
      </c>
      <c r="G22" s="4">
        <f t="shared" si="2"/>
        <v>248</v>
      </c>
      <c r="H22" s="3">
        <v>20.0</v>
      </c>
      <c r="I22" s="3" t="s">
        <v>36</v>
      </c>
      <c r="J22" s="3" t="s">
        <v>156</v>
      </c>
    </row>
    <row r="23">
      <c r="A23" s="3">
        <f t="shared" si="1"/>
        <v>22</v>
      </c>
      <c r="B23" s="3" t="s">
        <v>157</v>
      </c>
      <c r="C23" s="3" t="s">
        <v>25</v>
      </c>
      <c r="D23" s="3">
        <v>80.0</v>
      </c>
      <c r="E23" s="3">
        <v>84.0</v>
      </c>
      <c r="F23" s="3">
        <v>92.0</v>
      </c>
      <c r="G23" s="4">
        <f t="shared" si="2"/>
        <v>256</v>
      </c>
      <c r="H23" s="3">
        <v>30.0</v>
      </c>
      <c r="I23" s="3" t="s">
        <v>63</v>
      </c>
      <c r="J23" s="3" t="s">
        <v>35</v>
      </c>
    </row>
    <row r="24">
      <c r="A24" s="3">
        <f t="shared" si="1"/>
        <v>23</v>
      </c>
      <c r="B24" s="3" t="s">
        <v>159</v>
      </c>
      <c r="C24" s="3" t="s">
        <v>25</v>
      </c>
      <c r="D24" s="3">
        <v>73.0</v>
      </c>
      <c r="E24" s="3">
        <v>80.0</v>
      </c>
      <c r="F24" s="3">
        <v>89.0</v>
      </c>
      <c r="G24" s="4">
        <f t="shared" si="2"/>
        <v>242</v>
      </c>
      <c r="H24" s="3">
        <v>40.0</v>
      </c>
      <c r="I24" s="3" t="s">
        <v>57</v>
      </c>
      <c r="J24" s="3" t="s">
        <v>161</v>
      </c>
    </row>
    <row r="25">
      <c r="A25" s="3">
        <f t="shared" si="1"/>
        <v>24</v>
      </c>
      <c r="B25" s="3" t="s">
        <v>162</v>
      </c>
      <c r="C25" s="3" t="s">
        <v>25</v>
      </c>
      <c r="D25" s="3">
        <v>76.0</v>
      </c>
      <c r="E25" s="3">
        <v>87.0</v>
      </c>
      <c r="F25" s="3">
        <v>87.0</v>
      </c>
      <c r="G25" s="4">
        <f t="shared" si="2"/>
        <v>250</v>
      </c>
      <c r="H25" s="3">
        <v>20.0</v>
      </c>
      <c r="I25" s="3" t="s">
        <v>165</v>
      </c>
      <c r="J25" s="3" t="s">
        <v>78</v>
      </c>
    </row>
    <row r="26">
      <c r="A26" s="3">
        <f t="shared" si="1"/>
        <v>25</v>
      </c>
      <c r="B26" s="3" t="s">
        <v>168</v>
      </c>
      <c r="C26" s="3" t="s">
        <v>25</v>
      </c>
      <c r="D26" s="3">
        <v>83.0</v>
      </c>
      <c r="E26" s="3">
        <v>87.0</v>
      </c>
      <c r="F26" s="3">
        <v>65.0</v>
      </c>
      <c r="G26" s="4">
        <f t="shared" si="2"/>
        <v>235</v>
      </c>
      <c r="H26" s="3">
        <v>30.0</v>
      </c>
      <c r="I26" s="3" t="s">
        <v>36</v>
      </c>
      <c r="J26" s="3" t="s">
        <v>52</v>
      </c>
    </row>
    <row r="27">
      <c r="A27" s="3">
        <f t="shared" si="1"/>
        <v>26</v>
      </c>
      <c r="B27" s="3" t="s">
        <v>172</v>
      </c>
      <c r="C27" s="3" t="s">
        <v>25</v>
      </c>
      <c r="D27" s="3">
        <v>83.0</v>
      </c>
      <c r="E27" s="3">
        <v>83.0</v>
      </c>
      <c r="F27" s="3">
        <v>88.0</v>
      </c>
      <c r="G27" s="4">
        <f t="shared" si="2"/>
        <v>254</v>
      </c>
      <c r="H27" s="3">
        <v>10.0</v>
      </c>
      <c r="I27" s="3" t="s">
        <v>87</v>
      </c>
      <c r="J27" s="3" t="s">
        <v>139</v>
      </c>
    </row>
    <row r="28">
      <c r="A28" s="3">
        <f t="shared" si="1"/>
        <v>27</v>
      </c>
      <c r="B28" s="3" t="s">
        <v>177</v>
      </c>
      <c r="C28" s="3" t="s">
        <v>25</v>
      </c>
      <c r="D28" s="3">
        <v>79.0</v>
      </c>
      <c r="E28" s="3">
        <v>78.0</v>
      </c>
      <c r="F28" s="3">
        <v>83.0</v>
      </c>
      <c r="G28" s="4">
        <f t="shared" si="2"/>
        <v>240</v>
      </c>
      <c r="H28" s="3">
        <v>30.0</v>
      </c>
      <c r="I28" s="3" t="s">
        <v>57</v>
      </c>
      <c r="J28" s="3" t="s">
        <v>46</v>
      </c>
    </row>
    <row r="29">
      <c r="A29" s="3">
        <f t="shared" si="1"/>
        <v>28</v>
      </c>
      <c r="B29" s="3" t="s">
        <v>180</v>
      </c>
      <c r="C29" s="3" t="s">
        <v>25</v>
      </c>
      <c r="D29" s="3">
        <v>85.0</v>
      </c>
      <c r="E29" s="3">
        <v>81.0</v>
      </c>
      <c r="F29" s="3">
        <v>85.0</v>
      </c>
      <c r="G29" s="4">
        <f t="shared" si="2"/>
        <v>251</v>
      </c>
      <c r="H29" s="3">
        <v>5.0</v>
      </c>
      <c r="I29" s="3" t="s">
        <v>87</v>
      </c>
      <c r="J29" s="3" t="s">
        <v>103</v>
      </c>
    </row>
    <row r="30">
      <c r="A30" s="3">
        <f t="shared" si="1"/>
        <v>29</v>
      </c>
      <c r="B30" s="3" t="s">
        <v>185</v>
      </c>
      <c r="C30" s="3" t="s">
        <v>25</v>
      </c>
      <c r="D30" s="3">
        <v>83.0</v>
      </c>
      <c r="E30" s="3">
        <v>89.0</v>
      </c>
      <c r="F30" s="3">
        <v>90.0</v>
      </c>
      <c r="G30" s="4">
        <f t="shared" si="2"/>
        <v>262</v>
      </c>
      <c r="H30" s="3">
        <v>30.0</v>
      </c>
      <c r="I30" s="3" t="s">
        <v>63</v>
      </c>
      <c r="J30" s="3" t="s">
        <v>29</v>
      </c>
    </row>
    <row r="31">
      <c r="A31" s="3">
        <f t="shared" si="1"/>
        <v>30</v>
      </c>
      <c r="B31" s="3" t="s">
        <v>188</v>
      </c>
      <c r="C31" s="3" t="s">
        <v>25</v>
      </c>
      <c r="D31" s="3">
        <v>85.0</v>
      </c>
      <c r="E31" s="3">
        <v>85.0</v>
      </c>
      <c r="F31" s="3">
        <v>67.0</v>
      </c>
      <c r="G31" s="4">
        <f t="shared" si="2"/>
        <v>237</v>
      </c>
      <c r="H31" s="3">
        <v>30.0</v>
      </c>
      <c r="I31" s="3" t="s">
        <v>36</v>
      </c>
      <c r="J31" s="3" t="s">
        <v>191</v>
      </c>
    </row>
    <row r="32">
      <c r="A32" s="3">
        <f t="shared" si="1"/>
        <v>31</v>
      </c>
      <c r="B32" s="3" t="s">
        <v>193</v>
      </c>
      <c r="C32" s="3" t="s">
        <v>25</v>
      </c>
      <c r="D32" s="3">
        <v>84.0</v>
      </c>
      <c r="E32" s="3">
        <v>82.0</v>
      </c>
      <c r="F32" s="3">
        <v>89.0</v>
      </c>
      <c r="G32" s="4">
        <f t="shared" si="2"/>
        <v>255</v>
      </c>
      <c r="H32" s="3">
        <v>30.0</v>
      </c>
      <c r="I32" s="3" t="s">
        <v>195</v>
      </c>
      <c r="J32" s="3" t="s">
        <v>27</v>
      </c>
    </row>
    <row r="33">
      <c r="A33" s="3">
        <f t="shared" si="1"/>
        <v>32</v>
      </c>
      <c r="B33" s="3" t="s">
        <v>200</v>
      </c>
      <c r="C33" s="3" t="s">
        <v>25</v>
      </c>
      <c r="D33" s="3">
        <v>86.0</v>
      </c>
      <c r="E33" s="3">
        <v>86.0</v>
      </c>
      <c r="F33" s="3">
        <v>69.0</v>
      </c>
      <c r="G33" s="4">
        <f t="shared" si="2"/>
        <v>241</v>
      </c>
      <c r="H33" s="3">
        <v>50.0</v>
      </c>
      <c r="I33" s="3" t="s">
        <v>202</v>
      </c>
      <c r="J33" s="3" t="s">
        <v>183</v>
      </c>
    </row>
    <row r="34">
      <c r="A34" s="3">
        <f t="shared" si="1"/>
        <v>33</v>
      </c>
      <c r="B34" s="3" t="s">
        <v>205</v>
      </c>
      <c r="C34" s="3" t="s">
        <v>25</v>
      </c>
      <c r="D34" s="3">
        <v>78.0</v>
      </c>
      <c r="E34" s="3">
        <v>85.0</v>
      </c>
      <c r="F34" s="3">
        <v>84.0</v>
      </c>
      <c r="G34" s="4">
        <f t="shared" si="2"/>
        <v>247</v>
      </c>
      <c r="H34" s="3">
        <v>30.0</v>
      </c>
      <c r="I34" s="3" t="s">
        <v>36</v>
      </c>
      <c r="J34" s="3" t="s">
        <v>52</v>
      </c>
    </row>
    <row r="35">
      <c r="A35" s="3">
        <f t="shared" si="1"/>
        <v>34</v>
      </c>
      <c r="B35" s="3" t="s">
        <v>209</v>
      </c>
      <c r="C35" s="3" t="s">
        <v>25</v>
      </c>
      <c r="D35" s="3">
        <v>83.0</v>
      </c>
      <c r="E35" s="3">
        <v>80.0</v>
      </c>
      <c r="F35" s="3">
        <v>67.0</v>
      </c>
      <c r="G35" s="4">
        <f t="shared" si="2"/>
        <v>230</v>
      </c>
      <c r="H35" s="3">
        <v>30.0</v>
      </c>
      <c r="I35" s="3" t="s">
        <v>64</v>
      </c>
      <c r="J35" s="3" t="s">
        <v>133</v>
      </c>
    </row>
    <row r="36">
      <c r="A36" s="3">
        <f t="shared" si="1"/>
        <v>35</v>
      </c>
      <c r="B36" s="3" t="s">
        <v>214</v>
      </c>
      <c r="C36" s="3" t="s">
        <v>25</v>
      </c>
      <c r="D36" s="3">
        <v>91.0</v>
      </c>
      <c r="E36" s="3">
        <v>92.0</v>
      </c>
      <c r="F36" s="3">
        <v>86.0</v>
      </c>
      <c r="G36" s="4">
        <f t="shared" si="2"/>
        <v>269</v>
      </c>
      <c r="H36" s="3">
        <v>50.0</v>
      </c>
      <c r="I36" s="3" t="s">
        <v>36</v>
      </c>
      <c r="J36" s="3" t="s">
        <v>52</v>
      </c>
    </row>
    <row r="37">
      <c r="A37" s="3">
        <f t="shared" si="1"/>
        <v>36</v>
      </c>
      <c r="B37" s="3" t="s">
        <v>217</v>
      </c>
      <c r="C37" s="3" t="s">
        <v>25</v>
      </c>
      <c r="D37" s="3">
        <v>94.0</v>
      </c>
      <c r="E37" s="3">
        <v>94.0</v>
      </c>
      <c r="F37" s="3">
        <v>86.0</v>
      </c>
      <c r="G37" s="4">
        <f t="shared" si="2"/>
        <v>274</v>
      </c>
      <c r="H37" s="3">
        <v>50.0</v>
      </c>
      <c r="I37" s="3" t="s">
        <v>57</v>
      </c>
      <c r="J37" s="3" t="s">
        <v>218</v>
      </c>
    </row>
    <row r="38">
      <c r="A38" s="3">
        <f t="shared" si="1"/>
        <v>37</v>
      </c>
      <c r="B38" s="3" t="s">
        <v>220</v>
      </c>
      <c r="C38" s="3" t="s">
        <v>25</v>
      </c>
      <c r="D38" s="3">
        <v>92.0</v>
      </c>
      <c r="E38" s="3">
        <v>85.0</v>
      </c>
      <c r="F38" s="3">
        <v>90.0</v>
      </c>
      <c r="G38" s="4">
        <f t="shared" si="2"/>
        <v>267</v>
      </c>
      <c r="H38" s="3">
        <v>50.0</v>
      </c>
      <c r="I38" s="3" t="s">
        <v>45</v>
      </c>
      <c r="J38" s="3" t="s">
        <v>222</v>
      </c>
    </row>
    <row r="39">
      <c r="A39" s="3">
        <f t="shared" si="1"/>
        <v>38</v>
      </c>
      <c r="B39" s="3" t="s">
        <v>223</v>
      </c>
      <c r="C39" s="3" t="s">
        <v>25</v>
      </c>
      <c r="D39" s="3">
        <v>90.0</v>
      </c>
      <c r="E39" s="3">
        <v>93.0</v>
      </c>
      <c r="F39" s="3">
        <v>81.0</v>
      </c>
      <c r="G39" s="4">
        <f t="shared" si="2"/>
        <v>264</v>
      </c>
      <c r="H39" s="3">
        <v>50.0</v>
      </c>
      <c r="I39" s="3" t="s">
        <v>26</v>
      </c>
      <c r="J39" s="3" t="s">
        <v>226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30.88"/>
    <col customWidth="1" min="3" max="4" width="12.63"/>
    <col customWidth="1" min="5" max="5" width="9.13"/>
    <col customWidth="1" min="6" max="6" width="9.88"/>
    <col customWidth="1" min="7" max="7" width="8.25"/>
    <col customWidth="1" min="8" max="8" width="11.25"/>
    <col customWidth="1" min="9" max="9" width="15.13"/>
    <col customWidth="1" min="10" max="10" width="69.63"/>
  </cols>
  <sheetData>
    <row r="1" ht="15.75" customHeight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1" t="s">
        <v>8</v>
      </c>
      <c r="G1" s="3" t="s">
        <v>11</v>
      </c>
      <c r="H1" s="3" t="s">
        <v>14</v>
      </c>
      <c r="I1" s="3" t="s">
        <v>15</v>
      </c>
      <c r="J1" s="3" t="s">
        <v>16</v>
      </c>
    </row>
    <row r="2" ht="15.75" customHeight="1">
      <c r="A2" s="1">
        <f t="shared" ref="A2:A60" si="1">ROW()-1</f>
        <v>1</v>
      </c>
      <c r="B2" s="1" t="s">
        <v>22</v>
      </c>
      <c r="C2" s="1" t="s">
        <v>24</v>
      </c>
      <c r="D2" s="1">
        <v>73.0</v>
      </c>
      <c r="E2" s="1">
        <v>90.0</v>
      </c>
      <c r="F2" s="1">
        <v>87.0</v>
      </c>
      <c r="G2" s="4">
        <f t="shared" ref="G2:G60" si="2">SUM(D2:F2)</f>
        <v>250</v>
      </c>
      <c r="H2" s="3">
        <v>40.0</v>
      </c>
      <c r="I2" s="3" t="s">
        <v>26</v>
      </c>
      <c r="J2" s="3" t="s">
        <v>27</v>
      </c>
    </row>
    <row r="3" ht="15.75" customHeight="1">
      <c r="A3" s="1">
        <f t="shared" si="1"/>
        <v>2</v>
      </c>
      <c r="B3" s="1" t="s">
        <v>31</v>
      </c>
      <c r="C3" s="1" t="s">
        <v>24</v>
      </c>
      <c r="D3" s="1">
        <v>92.0</v>
      </c>
      <c r="E3" s="1">
        <v>82.0</v>
      </c>
      <c r="F3" s="1">
        <v>79.0</v>
      </c>
      <c r="G3" s="4">
        <f t="shared" si="2"/>
        <v>253</v>
      </c>
      <c r="H3" s="3">
        <v>40.0</v>
      </c>
      <c r="I3" s="3" t="s">
        <v>34</v>
      </c>
      <c r="J3" s="3" t="s">
        <v>35</v>
      </c>
    </row>
    <row r="4" ht="15.75" customHeight="1">
      <c r="A4" s="1">
        <f t="shared" si="1"/>
        <v>3</v>
      </c>
      <c r="B4" s="1" t="s">
        <v>37</v>
      </c>
      <c r="C4" s="1" t="s">
        <v>24</v>
      </c>
      <c r="D4" s="1">
        <v>64.0</v>
      </c>
      <c r="E4" s="1">
        <v>88.0</v>
      </c>
      <c r="F4" s="1">
        <v>84.0</v>
      </c>
      <c r="G4" s="4">
        <f t="shared" si="2"/>
        <v>236</v>
      </c>
      <c r="H4" s="3">
        <v>20.0</v>
      </c>
      <c r="I4" s="3" t="s">
        <v>38</v>
      </c>
      <c r="J4" s="3" t="s">
        <v>43</v>
      </c>
    </row>
    <row r="5" ht="15.75" customHeight="1">
      <c r="A5" s="1">
        <f t="shared" si="1"/>
        <v>4</v>
      </c>
      <c r="B5" s="1" t="s">
        <v>44</v>
      </c>
      <c r="C5" s="1" t="s">
        <v>24</v>
      </c>
      <c r="D5" s="1">
        <v>74.0</v>
      </c>
      <c r="E5" s="1">
        <v>88.0</v>
      </c>
      <c r="F5" s="1">
        <v>82.0</v>
      </c>
      <c r="G5" s="4">
        <f t="shared" si="2"/>
        <v>244</v>
      </c>
      <c r="H5" s="3">
        <v>20.0</v>
      </c>
      <c r="I5" s="3" t="s">
        <v>28</v>
      </c>
      <c r="J5" s="3" t="s">
        <v>50</v>
      </c>
    </row>
    <row r="6" ht="15.75" customHeight="1">
      <c r="A6" s="1">
        <f t="shared" si="1"/>
        <v>5</v>
      </c>
      <c r="B6" s="1" t="s">
        <v>51</v>
      </c>
      <c r="C6" s="1" t="s">
        <v>24</v>
      </c>
      <c r="D6" s="1">
        <v>78.0</v>
      </c>
      <c r="E6" s="1">
        <v>89.0</v>
      </c>
      <c r="F6" s="1">
        <v>80.0</v>
      </c>
      <c r="G6" s="4">
        <f t="shared" si="2"/>
        <v>247</v>
      </c>
      <c r="H6" s="3">
        <v>30.0</v>
      </c>
      <c r="I6" s="3" t="s">
        <v>38</v>
      </c>
      <c r="J6" s="3" t="s">
        <v>35</v>
      </c>
    </row>
    <row r="7" ht="15.75" customHeight="1">
      <c r="A7" s="1">
        <f t="shared" si="1"/>
        <v>6</v>
      </c>
      <c r="B7" s="1" t="s">
        <v>58</v>
      </c>
      <c r="C7" s="1" t="s">
        <v>24</v>
      </c>
      <c r="D7" s="1">
        <v>84.0</v>
      </c>
      <c r="E7" s="1">
        <v>86.0</v>
      </c>
      <c r="F7" s="1">
        <v>84.0</v>
      </c>
      <c r="G7" s="4">
        <f t="shared" si="2"/>
        <v>254</v>
      </c>
      <c r="H7" s="3">
        <v>30.0</v>
      </c>
      <c r="I7" s="3" t="s">
        <v>57</v>
      </c>
      <c r="J7" s="3" t="s">
        <v>52</v>
      </c>
    </row>
    <row r="8" ht="15.75" customHeight="1">
      <c r="A8" s="1">
        <f t="shared" si="1"/>
        <v>7</v>
      </c>
      <c r="B8" s="1" t="s">
        <v>62</v>
      </c>
      <c r="C8" s="1" t="s">
        <v>24</v>
      </c>
      <c r="D8" s="3">
        <v>77.0</v>
      </c>
      <c r="E8" s="3">
        <v>87.0</v>
      </c>
      <c r="F8" s="3">
        <v>83.0</v>
      </c>
      <c r="G8" s="4">
        <f t="shared" si="2"/>
        <v>247</v>
      </c>
      <c r="H8" s="3">
        <v>40.0</v>
      </c>
      <c r="I8" s="3" t="s">
        <v>57</v>
      </c>
      <c r="J8" s="3" t="s">
        <v>65</v>
      </c>
    </row>
    <row r="9" ht="15.75" customHeight="1">
      <c r="A9" s="1">
        <f t="shared" si="1"/>
        <v>8</v>
      </c>
      <c r="B9" s="3" t="s">
        <v>70</v>
      </c>
      <c r="C9" s="1" t="s">
        <v>24</v>
      </c>
      <c r="D9" s="3">
        <v>95.0</v>
      </c>
      <c r="E9" s="3">
        <v>80.0</v>
      </c>
      <c r="F9" s="3">
        <v>77.0</v>
      </c>
      <c r="G9" s="4">
        <f t="shared" si="2"/>
        <v>252</v>
      </c>
      <c r="H9" s="3">
        <v>40.0</v>
      </c>
      <c r="I9" s="3" t="s">
        <v>63</v>
      </c>
      <c r="J9" s="3" t="s">
        <v>35</v>
      </c>
    </row>
    <row r="10" ht="15.75" customHeight="1">
      <c r="A10" s="1">
        <f t="shared" si="1"/>
        <v>9</v>
      </c>
      <c r="B10" s="3" t="s">
        <v>76</v>
      </c>
      <c r="C10" s="1" t="s">
        <v>24</v>
      </c>
      <c r="D10" s="3">
        <v>79.0</v>
      </c>
      <c r="E10" s="3">
        <v>84.0</v>
      </c>
      <c r="F10" s="3">
        <v>86.0</v>
      </c>
      <c r="G10" s="4">
        <f t="shared" si="2"/>
        <v>249</v>
      </c>
      <c r="H10" s="3">
        <v>30.0</v>
      </c>
      <c r="I10" s="3" t="s">
        <v>64</v>
      </c>
      <c r="J10" s="3" t="s">
        <v>46</v>
      </c>
    </row>
    <row r="11" ht="15.75" customHeight="1">
      <c r="A11" s="1">
        <f t="shared" si="1"/>
        <v>10</v>
      </c>
      <c r="B11" s="3" t="s">
        <v>79</v>
      </c>
      <c r="C11" s="1" t="s">
        <v>24</v>
      </c>
      <c r="D11" s="3">
        <v>76.0</v>
      </c>
      <c r="E11" s="3">
        <v>80.0</v>
      </c>
      <c r="F11" s="3">
        <v>74.0</v>
      </c>
      <c r="G11" s="4">
        <f t="shared" si="2"/>
        <v>230</v>
      </c>
      <c r="H11" s="3">
        <v>20.0</v>
      </c>
      <c r="I11" s="3" t="s">
        <v>45</v>
      </c>
      <c r="J11" s="3" t="s">
        <v>46</v>
      </c>
    </row>
    <row r="12" ht="15.75" customHeight="1">
      <c r="A12" s="1">
        <f t="shared" si="1"/>
        <v>11</v>
      </c>
      <c r="B12" s="3" t="s">
        <v>85</v>
      </c>
      <c r="C12" s="1" t="s">
        <v>24</v>
      </c>
      <c r="D12" s="3">
        <v>59.0</v>
      </c>
      <c r="E12" s="3">
        <v>86.0</v>
      </c>
      <c r="F12" s="3">
        <v>84.0</v>
      </c>
      <c r="G12" s="4">
        <f t="shared" si="2"/>
        <v>229</v>
      </c>
      <c r="H12" s="3">
        <v>20.0</v>
      </c>
      <c r="I12" s="3" t="s">
        <v>63</v>
      </c>
      <c r="J12" s="3" t="s">
        <v>29</v>
      </c>
    </row>
    <row r="13" ht="15.75" customHeight="1">
      <c r="A13" s="1">
        <f t="shared" si="1"/>
        <v>12</v>
      </c>
      <c r="B13" s="3" t="s">
        <v>91</v>
      </c>
      <c r="C13" s="1" t="s">
        <v>24</v>
      </c>
      <c r="D13" s="3">
        <v>77.0</v>
      </c>
      <c r="E13" s="3">
        <v>86.0</v>
      </c>
      <c r="F13" s="3">
        <v>85.0</v>
      </c>
      <c r="G13" s="4">
        <f t="shared" si="2"/>
        <v>248</v>
      </c>
      <c r="H13" s="3">
        <v>20.0</v>
      </c>
      <c r="I13" s="3" t="s">
        <v>57</v>
      </c>
      <c r="J13" s="3" t="s">
        <v>46</v>
      </c>
    </row>
    <row r="14" ht="15.75" customHeight="1">
      <c r="A14" s="1">
        <f t="shared" si="1"/>
        <v>13</v>
      </c>
      <c r="B14" s="3" t="s">
        <v>97</v>
      </c>
      <c r="C14" s="1" t="s">
        <v>24</v>
      </c>
      <c r="D14" s="3">
        <v>80.0</v>
      </c>
      <c r="E14" s="3">
        <v>81.0</v>
      </c>
      <c r="F14" s="3">
        <v>79.0</v>
      </c>
      <c r="G14" s="4">
        <f t="shared" si="2"/>
        <v>240</v>
      </c>
      <c r="H14" s="3">
        <v>40.0</v>
      </c>
      <c r="I14" s="3" t="s">
        <v>36</v>
      </c>
      <c r="J14" s="3" t="s">
        <v>46</v>
      </c>
    </row>
    <row r="15" ht="15.75" customHeight="1">
      <c r="A15" s="1">
        <f t="shared" si="1"/>
        <v>14</v>
      </c>
      <c r="B15" s="3" t="s">
        <v>101</v>
      </c>
      <c r="C15" s="1" t="s">
        <v>24</v>
      </c>
      <c r="D15" s="3">
        <v>89.0</v>
      </c>
      <c r="E15" s="3">
        <v>78.0</v>
      </c>
      <c r="F15" s="3">
        <v>82.0</v>
      </c>
      <c r="G15" s="4">
        <f t="shared" si="2"/>
        <v>249</v>
      </c>
      <c r="H15" s="3">
        <v>10.0</v>
      </c>
      <c r="I15" s="3" t="s">
        <v>36</v>
      </c>
      <c r="J15" s="3" t="s">
        <v>54</v>
      </c>
    </row>
    <row r="16" ht="15.75" customHeight="1">
      <c r="A16" s="1">
        <f t="shared" si="1"/>
        <v>15</v>
      </c>
      <c r="B16" s="3" t="s">
        <v>108</v>
      </c>
      <c r="C16" s="1" t="s">
        <v>24</v>
      </c>
      <c r="D16" s="3">
        <v>83.0</v>
      </c>
      <c r="E16" s="3">
        <v>78.0</v>
      </c>
      <c r="F16" s="3">
        <v>74.0</v>
      </c>
      <c r="G16" s="4">
        <f t="shared" si="2"/>
        <v>235</v>
      </c>
      <c r="H16" s="3">
        <v>10.0</v>
      </c>
      <c r="I16" s="3" t="s">
        <v>63</v>
      </c>
      <c r="J16" s="3" t="s">
        <v>52</v>
      </c>
    </row>
    <row r="17" ht="15.75" customHeight="1">
      <c r="A17" s="1">
        <f t="shared" si="1"/>
        <v>16</v>
      </c>
      <c r="B17" s="3" t="s">
        <v>113</v>
      </c>
      <c r="C17" s="1" t="s">
        <v>24</v>
      </c>
      <c r="D17" s="3">
        <v>84.0</v>
      </c>
      <c r="E17" s="3">
        <v>79.0</v>
      </c>
      <c r="F17" s="3">
        <v>84.0</v>
      </c>
      <c r="G17" s="4">
        <f t="shared" si="2"/>
        <v>247</v>
      </c>
      <c r="H17" s="3">
        <v>5.0</v>
      </c>
      <c r="I17" s="3" t="s">
        <v>26</v>
      </c>
      <c r="J17" s="3" t="s">
        <v>46</v>
      </c>
    </row>
    <row r="18" ht="15.75" customHeight="1">
      <c r="A18" s="1">
        <f t="shared" si="1"/>
        <v>17</v>
      </c>
      <c r="B18" s="3" t="s">
        <v>120</v>
      </c>
      <c r="C18" s="1" t="s">
        <v>24</v>
      </c>
      <c r="D18" s="3">
        <v>75.0</v>
      </c>
      <c r="E18" s="3">
        <v>82.0</v>
      </c>
      <c r="F18" s="3">
        <v>79.0</v>
      </c>
      <c r="G18" s="4">
        <f t="shared" si="2"/>
        <v>236</v>
      </c>
      <c r="H18" s="3">
        <v>30.0</v>
      </c>
      <c r="I18" s="3" t="s">
        <v>36</v>
      </c>
      <c r="J18" s="3" t="s">
        <v>46</v>
      </c>
    </row>
    <row r="19" ht="15.75" customHeight="1">
      <c r="A19" s="1">
        <f t="shared" si="1"/>
        <v>18</v>
      </c>
      <c r="B19" s="3" t="s">
        <v>125</v>
      </c>
      <c r="C19" s="1" t="s">
        <v>24</v>
      </c>
      <c r="D19" s="3">
        <v>75.0</v>
      </c>
      <c r="E19" s="3">
        <v>86.0</v>
      </c>
      <c r="F19" s="3">
        <v>79.0</v>
      </c>
      <c r="G19" s="4">
        <f t="shared" si="2"/>
        <v>240</v>
      </c>
      <c r="H19" s="3">
        <v>10.0</v>
      </c>
      <c r="I19" s="3" t="s">
        <v>57</v>
      </c>
      <c r="J19" s="3" t="s">
        <v>50</v>
      </c>
    </row>
    <row r="20" ht="15.75" customHeight="1">
      <c r="A20" s="1">
        <f t="shared" si="1"/>
        <v>19</v>
      </c>
      <c r="B20" s="3" t="s">
        <v>131</v>
      </c>
      <c r="C20" s="1" t="s">
        <v>24</v>
      </c>
      <c r="D20" s="3">
        <v>82.0</v>
      </c>
      <c r="E20" s="3">
        <v>85.0</v>
      </c>
      <c r="F20" s="3">
        <v>82.0</v>
      </c>
      <c r="G20" s="4">
        <f t="shared" si="2"/>
        <v>249</v>
      </c>
      <c r="H20" s="3">
        <v>20.0</v>
      </c>
      <c r="I20" s="3" t="s">
        <v>38</v>
      </c>
      <c r="J20" s="3" t="s">
        <v>46</v>
      </c>
    </row>
    <row r="21" ht="15.75" customHeight="1">
      <c r="A21" s="1">
        <f t="shared" si="1"/>
        <v>20</v>
      </c>
      <c r="B21" s="3" t="s">
        <v>136</v>
      </c>
      <c r="C21" s="1" t="s">
        <v>24</v>
      </c>
      <c r="D21" s="3">
        <v>78.0</v>
      </c>
      <c r="E21" s="3">
        <v>77.0</v>
      </c>
      <c r="F21" s="3">
        <v>76.0</v>
      </c>
      <c r="G21" s="4">
        <f t="shared" si="2"/>
        <v>231</v>
      </c>
      <c r="H21" s="3">
        <v>30.0</v>
      </c>
      <c r="I21" s="3" t="s">
        <v>36</v>
      </c>
      <c r="J21" s="3" t="s">
        <v>140</v>
      </c>
    </row>
    <row r="22" ht="15.75" customHeight="1">
      <c r="A22" s="1">
        <f t="shared" si="1"/>
        <v>21</v>
      </c>
      <c r="B22" s="3" t="s">
        <v>144</v>
      </c>
      <c r="C22" s="1" t="s">
        <v>24</v>
      </c>
      <c r="D22" s="3">
        <v>68.0</v>
      </c>
      <c r="E22" s="3">
        <v>82.0</v>
      </c>
      <c r="F22" s="3">
        <v>75.0</v>
      </c>
      <c r="G22" s="4">
        <f t="shared" si="2"/>
        <v>225</v>
      </c>
      <c r="H22" s="3">
        <v>5.0</v>
      </c>
      <c r="I22" s="3" t="s">
        <v>145</v>
      </c>
      <c r="J22" s="3" t="s">
        <v>46</v>
      </c>
    </row>
    <row r="23" ht="15.75" customHeight="1">
      <c r="A23" s="1">
        <f t="shared" si="1"/>
        <v>22</v>
      </c>
      <c r="B23" s="3" t="s">
        <v>147</v>
      </c>
      <c r="C23" s="1" t="s">
        <v>24</v>
      </c>
      <c r="D23" s="3">
        <v>74.0</v>
      </c>
      <c r="E23" s="3">
        <v>79.0</v>
      </c>
      <c r="F23" s="3">
        <v>75.0</v>
      </c>
      <c r="G23" s="4">
        <f t="shared" si="2"/>
        <v>228</v>
      </c>
      <c r="H23" s="3">
        <v>5.0</v>
      </c>
      <c r="I23" s="3" t="s">
        <v>150</v>
      </c>
      <c r="J23" s="3" t="s">
        <v>27</v>
      </c>
    </row>
    <row r="24" ht="15.75" customHeight="1">
      <c r="A24" s="1">
        <f t="shared" si="1"/>
        <v>23</v>
      </c>
      <c r="B24" s="3" t="s">
        <v>154</v>
      </c>
      <c r="C24" s="1" t="s">
        <v>24</v>
      </c>
      <c r="D24" s="3">
        <v>90.0</v>
      </c>
      <c r="E24" s="3">
        <v>82.0</v>
      </c>
      <c r="F24" s="3">
        <v>80.0</v>
      </c>
      <c r="G24" s="4">
        <f t="shared" si="2"/>
        <v>252</v>
      </c>
      <c r="H24" s="3">
        <v>20.0</v>
      </c>
      <c r="I24" s="3" t="s">
        <v>26</v>
      </c>
      <c r="J24" s="3" t="s">
        <v>140</v>
      </c>
    </row>
    <row r="25" ht="15.75" customHeight="1">
      <c r="A25" s="1">
        <f t="shared" si="1"/>
        <v>24</v>
      </c>
      <c r="B25" s="3" t="s">
        <v>158</v>
      </c>
      <c r="C25" s="1" t="s">
        <v>24</v>
      </c>
      <c r="D25" s="3">
        <v>71.0</v>
      </c>
      <c r="E25" s="3">
        <v>82.0</v>
      </c>
      <c r="F25" s="3">
        <v>76.0</v>
      </c>
      <c r="G25" s="4">
        <f t="shared" si="2"/>
        <v>229</v>
      </c>
      <c r="H25" s="3">
        <v>10.0</v>
      </c>
      <c r="I25" s="3" t="s">
        <v>36</v>
      </c>
      <c r="J25" s="3" t="s">
        <v>46</v>
      </c>
    </row>
    <row r="26" ht="15.75" customHeight="1">
      <c r="A26" s="1">
        <f t="shared" si="1"/>
        <v>25</v>
      </c>
      <c r="B26" s="3" t="s">
        <v>160</v>
      </c>
      <c r="C26" s="1" t="s">
        <v>24</v>
      </c>
      <c r="D26" s="3">
        <v>60.0</v>
      </c>
      <c r="E26" s="3">
        <v>82.0</v>
      </c>
      <c r="F26" s="3">
        <v>83.0</v>
      </c>
      <c r="G26" s="4">
        <f t="shared" si="2"/>
        <v>225</v>
      </c>
      <c r="H26" s="3">
        <v>10.0</v>
      </c>
      <c r="I26" s="3" t="s">
        <v>26</v>
      </c>
      <c r="J26" s="3" t="s">
        <v>127</v>
      </c>
    </row>
    <row r="27" ht="15.75" customHeight="1">
      <c r="A27" s="1">
        <f t="shared" si="1"/>
        <v>26</v>
      </c>
      <c r="B27" s="3" t="s">
        <v>163</v>
      </c>
      <c r="C27" s="1" t="s">
        <v>24</v>
      </c>
      <c r="D27" s="3">
        <v>70.0</v>
      </c>
      <c r="E27" s="3">
        <v>84.0</v>
      </c>
      <c r="F27" s="3">
        <v>76.0</v>
      </c>
      <c r="G27" s="4">
        <f t="shared" si="2"/>
        <v>230</v>
      </c>
      <c r="H27" s="3">
        <v>30.0</v>
      </c>
      <c r="I27" s="3" t="s">
        <v>36</v>
      </c>
      <c r="J27" s="3" t="s">
        <v>52</v>
      </c>
    </row>
    <row r="28" ht="15.75" customHeight="1">
      <c r="A28" s="1">
        <f t="shared" si="1"/>
        <v>27</v>
      </c>
      <c r="B28" s="3" t="s">
        <v>169</v>
      </c>
      <c r="C28" s="1" t="s">
        <v>24</v>
      </c>
      <c r="D28" s="3">
        <v>60.0</v>
      </c>
      <c r="E28" s="3">
        <v>83.0</v>
      </c>
      <c r="F28" s="3">
        <v>85.0</v>
      </c>
      <c r="G28" s="4">
        <f t="shared" si="2"/>
        <v>228</v>
      </c>
      <c r="H28" s="3">
        <v>20.0</v>
      </c>
      <c r="I28" s="3" t="s">
        <v>87</v>
      </c>
      <c r="J28" s="3" t="s">
        <v>171</v>
      </c>
    </row>
    <row r="29" ht="15.75" customHeight="1">
      <c r="A29" s="1">
        <f t="shared" si="1"/>
        <v>28</v>
      </c>
      <c r="B29" s="3" t="s">
        <v>173</v>
      </c>
      <c r="C29" s="1" t="s">
        <v>24</v>
      </c>
      <c r="D29" s="3">
        <v>73.0</v>
      </c>
      <c r="E29" s="3">
        <v>82.0</v>
      </c>
      <c r="F29" s="3">
        <v>79.0</v>
      </c>
      <c r="G29" s="4">
        <f t="shared" si="2"/>
        <v>234</v>
      </c>
      <c r="H29" s="3">
        <v>20.0</v>
      </c>
      <c r="I29" s="3" t="s">
        <v>36</v>
      </c>
      <c r="J29" s="3" t="s">
        <v>175</v>
      </c>
    </row>
    <row r="30" ht="15.75" customHeight="1">
      <c r="A30" s="1">
        <f t="shared" si="1"/>
        <v>29</v>
      </c>
      <c r="B30" s="3" t="s">
        <v>178</v>
      </c>
      <c r="C30" s="1" t="s">
        <v>24</v>
      </c>
      <c r="D30" s="3">
        <v>67.0</v>
      </c>
      <c r="E30" s="3">
        <v>81.0</v>
      </c>
      <c r="F30" s="3">
        <v>80.0</v>
      </c>
      <c r="G30" s="4">
        <f t="shared" si="2"/>
        <v>228</v>
      </c>
      <c r="H30" s="3">
        <v>10.0</v>
      </c>
      <c r="I30" s="3" t="s">
        <v>87</v>
      </c>
      <c r="J30" s="3" t="s">
        <v>127</v>
      </c>
    </row>
    <row r="31" ht="15.75" customHeight="1">
      <c r="A31" s="1">
        <f t="shared" si="1"/>
        <v>30</v>
      </c>
      <c r="B31" s="3" t="s">
        <v>181</v>
      </c>
      <c r="C31" s="1" t="s">
        <v>24</v>
      </c>
      <c r="D31" s="3">
        <v>85.0</v>
      </c>
      <c r="E31" s="3">
        <v>78.0</v>
      </c>
      <c r="F31" s="3">
        <v>84.0</v>
      </c>
      <c r="G31" s="4">
        <f t="shared" si="2"/>
        <v>247</v>
      </c>
      <c r="H31" s="3">
        <v>30.0</v>
      </c>
      <c r="I31" s="3" t="s">
        <v>57</v>
      </c>
      <c r="J31" s="3" t="s">
        <v>46</v>
      </c>
    </row>
    <row r="32" ht="15.75" customHeight="1">
      <c r="A32" s="1">
        <f t="shared" si="1"/>
        <v>31</v>
      </c>
      <c r="B32" s="3" t="s">
        <v>184</v>
      </c>
      <c r="C32" s="1" t="s">
        <v>24</v>
      </c>
      <c r="D32" s="3">
        <v>85.0</v>
      </c>
      <c r="E32" s="3">
        <v>73.0</v>
      </c>
      <c r="F32" s="3">
        <v>80.0</v>
      </c>
      <c r="G32" s="4">
        <f t="shared" si="2"/>
        <v>238</v>
      </c>
      <c r="H32" s="3">
        <v>10.0</v>
      </c>
      <c r="I32" s="3" t="s">
        <v>36</v>
      </c>
      <c r="J32" s="3" t="s">
        <v>46</v>
      </c>
    </row>
    <row r="33" ht="15.75" customHeight="1">
      <c r="A33" s="1">
        <f t="shared" si="1"/>
        <v>32</v>
      </c>
      <c r="B33" s="3" t="s">
        <v>187</v>
      </c>
      <c r="C33" s="1" t="s">
        <v>24</v>
      </c>
      <c r="D33" s="3">
        <v>67.0</v>
      </c>
      <c r="E33" s="3">
        <v>82.0</v>
      </c>
      <c r="F33" s="3">
        <v>73.0</v>
      </c>
      <c r="G33" s="4">
        <f t="shared" si="2"/>
        <v>222</v>
      </c>
      <c r="H33" s="3">
        <v>5.0</v>
      </c>
      <c r="I33" s="3" t="s">
        <v>36</v>
      </c>
      <c r="J33" s="3" t="s">
        <v>190</v>
      </c>
    </row>
    <row r="34" ht="15.75" customHeight="1">
      <c r="A34" s="1">
        <f t="shared" si="1"/>
        <v>33</v>
      </c>
      <c r="B34" s="3" t="s">
        <v>192</v>
      </c>
      <c r="C34" s="1" t="s">
        <v>24</v>
      </c>
      <c r="D34" s="3">
        <v>64.0</v>
      </c>
      <c r="E34" s="3">
        <v>81.0</v>
      </c>
      <c r="F34" s="3">
        <v>76.0</v>
      </c>
      <c r="G34" s="4">
        <f t="shared" si="2"/>
        <v>221</v>
      </c>
      <c r="H34" s="3">
        <v>5.0</v>
      </c>
      <c r="I34" s="3" t="s">
        <v>36</v>
      </c>
      <c r="J34" s="3" t="s">
        <v>191</v>
      </c>
    </row>
    <row r="35" ht="15.75" customHeight="1">
      <c r="A35" s="1">
        <f t="shared" si="1"/>
        <v>34</v>
      </c>
      <c r="B35" s="3" t="s">
        <v>197</v>
      </c>
      <c r="C35" s="1" t="s">
        <v>24</v>
      </c>
      <c r="D35" s="3">
        <v>35.0</v>
      </c>
      <c r="E35" s="3">
        <v>80.0</v>
      </c>
      <c r="F35" s="3">
        <v>82.0</v>
      </c>
      <c r="G35" s="4">
        <f t="shared" si="2"/>
        <v>197</v>
      </c>
      <c r="H35" s="3">
        <v>5.0</v>
      </c>
      <c r="I35" s="3" t="s">
        <v>45</v>
      </c>
      <c r="J35" s="3" t="s">
        <v>127</v>
      </c>
    </row>
    <row r="36" ht="15.75" customHeight="1">
      <c r="A36" s="1">
        <f t="shared" si="1"/>
        <v>35</v>
      </c>
      <c r="B36" s="3" t="s">
        <v>199</v>
      </c>
      <c r="C36" s="1" t="s">
        <v>24</v>
      </c>
      <c r="D36" s="3">
        <v>94.0</v>
      </c>
      <c r="E36" s="3">
        <v>74.0</v>
      </c>
      <c r="F36" s="3">
        <v>76.0</v>
      </c>
      <c r="G36" s="4">
        <f t="shared" si="2"/>
        <v>244</v>
      </c>
      <c r="H36" s="3">
        <v>30.0</v>
      </c>
      <c r="I36" s="3" t="s">
        <v>201</v>
      </c>
      <c r="J36" s="3" t="s">
        <v>78</v>
      </c>
    </row>
    <row r="37" ht="15.75" customHeight="1">
      <c r="A37" s="1">
        <f t="shared" si="1"/>
        <v>36</v>
      </c>
      <c r="B37" s="3" t="s">
        <v>204</v>
      </c>
      <c r="C37" s="1" t="s">
        <v>24</v>
      </c>
      <c r="D37" s="3">
        <v>91.0</v>
      </c>
      <c r="E37" s="3">
        <v>78.0</v>
      </c>
      <c r="F37" s="3">
        <v>67.0</v>
      </c>
      <c r="G37" s="4">
        <f t="shared" si="2"/>
        <v>236</v>
      </c>
      <c r="H37" s="3">
        <v>10.0</v>
      </c>
      <c r="I37" s="3" t="s">
        <v>36</v>
      </c>
      <c r="J37" s="3" t="s">
        <v>52</v>
      </c>
    </row>
    <row r="38" ht="15.75" customHeight="1">
      <c r="A38" s="1">
        <f t="shared" si="1"/>
        <v>37</v>
      </c>
      <c r="B38" s="3" t="s">
        <v>208</v>
      </c>
      <c r="C38" s="1" t="s">
        <v>24</v>
      </c>
      <c r="D38" s="3">
        <v>80.0</v>
      </c>
      <c r="E38" s="3">
        <v>81.0</v>
      </c>
      <c r="F38" s="3">
        <v>83.0</v>
      </c>
      <c r="G38" s="4">
        <f t="shared" si="2"/>
        <v>244</v>
      </c>
      <c r="H38" s="3">
        <v>20.0</v>
      </c>
      <c r="I38" s="3" t="s">
        <v>84</v>
      </c>
      <c r="J38" s="3" t="s">
        <v>52</v>
      </c>
    </row>
    <row r="39" ht="15.75" customHeight="1">
      <c r="A39" s="1">
        <f t="shared" si="1"/>
        <v>38</v>
      </c>
      <c r="B39" s="3" t="s">
        <v>213</v>
      </c>
      <c r="C39" s="1" t="s">
        <v>24</v>
      </c>
      <c r="D39" s="3">
        <v>63.0</v>
      </c>
      <c r="E39" s="3">
        <v>87.0</v>
      </c>
      <c r="F39" s="3">
        <v>86.0</v>
      </c>
      <c r="G39" s="4">
        <f t="shared" si="2"/>
        <v>236</v>
      </c>
      <c r="H39" s="3">
        <v>10.0</v>
      </c>
      <c r="I39" s="3" t="s">
        <v>64</v>
      </c>
      <c r="J39" s="3" t="s">
        <v>78</v>
      </c>
    </row>
    <row r="40" ht="15.75" customHeight="1">
      <c r="A40" s="1">
        <f t="shared" si="1"/>
        <v>39</v>
      </c>
      <c r="B40" s="3" t="s">
        <v>216</v>
      </c>
      <c r="C40" s="1" t="s">
        <v>24</v>
      </c>
      <c r="D40" s="3">
        <v>94.0</v>
      </c>
      <c r="E40" s="3">
        <v>72.0</v>
      </c>
      <c r="F40" s="3">
        <v>63.0</v>
      </c>
      <c r="G40" s="4">
        <f t="shared" si="2"/>
        <v>229</v>
      </c>
      <c r="H40" s="3">
        <v>20.0</v>
      </c>
      <c r="I40" s="3" t="s">
        <v>26</v>
      </c>
      <c r="J40" s="3" t="s">
        <v>27</v>
      </c>
    </row>
    <row r="41" ht="15.75" customHeight="1">
      <c r="A41" s="1">
        <f t="shared" si="1"/>
        <v>40</v>
      </c>
      <c r="B41" s="3" t="s">
        <v>221</v>
      </c>
      <c r="C41" s="1" t="s">
        <v>24</v>
      </c>
      <c r="D41" s="3">
        <v>71.0</v>
      </c>
      <c r="E41" s="3">
        <v>85.0</v>
      </c>
      <c r="F41" s="3">
        <v>80.0</v>
      </c>
      <c r="G41" s="4">
        <f t="shared" si="2"/>
        <v>236</v>
      </c>
      <c r="H41" s="3">
        <v>10.0</v>
      </c>
      <c r="I41" s="3" t="s">
        <v>36</v>
      </c>
      <c r="J41" s="3" t="s">
        <v>149</v>
      </c>
    </row>
    <row r="42" ht="15.75" customHeight="1">
      <c r="A42" s="1">
        <f t="shared" si="1"/>
        <v>41</v>
      </c>
      <c r="B42" s="3" t="s">
        <v>224</v>
      </c>
      <c r="C42" s="1" t="s">
        <v>24</v>
      </c>
      <c r="D42" s="3">
        <v>66.0</v>
      </c>
      <c r="E42" s="3">
        <v>83.0</v>
      </c>
      <c r="F42" s="3">
        <v>81.0</v>
      </c>
      <c r="G42" s="4">
        <f t="shared" si="2"/>
        <v>230</v>
      </c>
      <c r="H42" s="3">
        <v>20.0</v>
      </c>
      <c r="I42" s="3" t="s">
        <v>87</v>
      </c>
      <c r="J42" s="3" t="s">
        <v>140</v>
      </c>
    </row>
    <row r="43" ht="15.75" customHeight="1">
      <c r="A43" s="1">
        <f t="shared" si="1"/>
        <v>42</v>
      </c>
      <c r="B43" s="3" t="s">
        <v>228</v>
      </c>
      <c r="C43" s="1" t="s">
        <v>24</v>
      </c>
      <c r="D43" s="3">
        <v>71.0</v>
      </c>
      <c r="E43" s="3">
        <v>82.0</v>
      </c>
      <c r="F43" s="3">
        <v>77.0</v>
      </c>
      <c r="G43" s="4">
        <f t="shared" si="2"/>
        <v>230</v>
      </c>
      <c r="H43" s="3">
        <v>10.0</v>
      </c>
      <c r="I43" s="3" t="s">
        <v>57</v>
      </c>
      <c r="J43" s="3" t="s">
        <v>116</v>
      </c>
    </row>
    <row r="44" ht="15.75" customHeight="1">
      <c r="A44" s="1">
        <f t="shared" si="1"/>
        <v>43</v>
      </c>
      <c r="B44" s="3" t="s">
        <v>231</v>
      </c>
      <c r="C44" s="1" t="s">
        <v>24</v>
      </c>
      <c r="D44" s="3">
        <v>85.0</v>
      </c>
      <c r="E44" s="3">
        <v>76.0</v>
      </c>
      <c r="F44" s="3">
        <v>78.0</v>
      </c>
      <c r="G44" s="4">
        <f t="shared" si="2"/>
        <v>239</v>
      </c>
      <c r="H44" s="3">
        <v>5.0</v>
      </c>
      <c r="I44" s="3" t="s">
        <v>63</v>
      </c>
      <c r="J44" s="3" t="s">
        <v>127</v>
      </c>
    </row>
    <row r="45" ht="15.75" customHeight="1">
      <c r="A45" s="1">
        <f t="shared" si="1"/>
        <v>44</v>
      </c>
      <c r="B45" s="3" t="s">
        <v>235</v>
      </c>
      <c r="C45" s="1" t="s">
        <v>24</v>
      </c>
      <c r="D45" s="3">
        <v>80.0</v>
      </c>
      <c r="E45" s="3">
        <v>77.0</v>
      </c>
      <c r="F45" s="3">
        <v>78.0</v>
      </c>
      <c r="G45" s="4">
        <f t="shared" si="2"/>
        <v>235</v>
      </c>
      <c r="H45" s="3">
        <v>40.0</v>
      </c>
      <c r="I45" s="3" t="s">
        <v>45</v>
      </c>
      <c r="J45" s="3" t="s">
        <v>236</v>
      </c>
    </row>
    <row r="46" ht="15.75" customHeight="1">
      <c r="A46" s="1">
        <f t="shared" si="1"/>
        <v>45</v>
      </c>
      <c r="B46" s="3" t="s">
        <v>238</v>
      </c>
      <c r="C46" s="1" t="s">
        <v>24</v>
      </c>
      <c r="D46" s="3">
        <v>69.0</v>
      </c>
      <c r="E46" s="3">
        <v>79.0</v>
      </c>
      <c r="F46" s="3">
        <v>72.0</v>
      </c>
      <c r="G46" s="4">
        <f t="shared" si="2"/>
        <v>220</v>
      </c>
      <c r="H46" s="3">
        <v>30.0</v>
      </c>
      <c r="I46" s="3" t="s">
        <v>45</v>
      </c>
      <c r="J46" s="3" t="s">
        <v>127</v>
      </c>
    </row>
    <row r="47" ht="15.75" customHeight="1">
      <c r="A47" s="1">
        <f t="shared" si="1"/>
        <v>46</v>
      </c>
      <c r="B47" s="3" t="s">
        <v>241</v>
      </c>
      <c r="C47" s="1" t="s">
        <v>24</v>
      </c>
      <c r="D47" s="3">
        <v>63.0</v>
      </c>
      <c r="E47" s="3">
        <v>80.0</v>
      </c>
      <c r="F47" s="3">
        <v>73.0</v>
      </c>
      <c r="G47" s="4">
        <f t="shared" si="2"/>
        <v>216</v>
      </c>
      <c r="H47" s="3">
        <v>20.0</v>
      </c>
      <c r="I47" s="3" t="s">
        <v>36</v>
      </c>
      <c r="J47" s="3" t="s">
        <v>52</v>
      </c>
    </row>
    <row r="48" ht="15.75" customHeight="1">
      <c r="A48" s="1">
        <f t="shared" si="1"/>
        <v>47</v>
      </c>
      <c r="B48" s="3" t="s">
        <v>243</v>
      </c>
      <c r="C48" s="1" t="s">
        <v>24</v>
      </c>
      <c r="D48" s="3">
        <v>82.0</v>
      </c>
      <c r="E48" s="3">
        <v>70.0</v>
      </c>
      <c r="F48" s="3">
        <v>68.0</v>
      </c>
      <c r="G48" s="4">
        <f t="shared" si="2"/>
        <v>220</v>
      </c>
      <c r="H48" s="3">
        <v>40.0</v>
      </c>
      <c r="I48" s="3" t="s">
        <v>36</v>
      </c>
      <c r="J48" s="3" t="s">
        <v>139</v>
      </c>
    </row>
    <row r="49" ht="15.75" customHeight="1">
      <c r="A49" s="1">
        <f t="shared" si="1"/>
        <v>48</v>
      </c>
      <c r="B49" s="3" t="s">
        <v>244</v>
      </c>
      <c r="C49" s="1" t="s">
        <v>24</v>
      </c>
      <c r="D49" s="3">
        <v>73.0</v>
      </c>
      <c r="E49" s="3">
        <v>75.0</v>
      </c>
      <c r="F49" s="3">
        <v>82.0</v>
      </c>
      <c r="G49" s="4">
        <f t="shared" si="2"/>
        <v>230</v>
      </c>
      <c r="H49" s="3">
        <v>5.0</v>
      </c>
      <c r="I49" s="3" t="s">
        <v>63</v>
      </c>
      <c r="J49" s="3" t="s">
        <v>245</v>
      </c>
    </row>
    <row r="50" ht="15.75" customHeight="1">
      <c r="A50" s="1">
        <f t="shared" si="1"/>
        <v>49</v>
      </c>
      <c r="B50" s="3" t="s">
        <v>246</v>
      </c>
      <c r="C50" s="1" t="s">
        <v>24</v>
      </c>
      <c r="D50" s="3">
        <v>74.0</v>
      </c>
      <c r="E50" s="3">
        <v>78.0</v>
      </c>
      <c r="F50" s="3">
        <v>76.0</v>
      </c>
      <c r="G50" s="4">
        <f t="shared" si="2"/>
        <v>228</v>
      </c>
      <c r="H50" s="3">
        <v>10.0</v>
      </c>
      <c r="I50" s="3" t="s">
        <v>36</v>
      </c>
      <c r="J50" s="3" t="s">
        <v>46</v>
      </c>
    </row>
    <row r="51" ht="15.75" customHeight="1">
      <c r="A51" s="1">
        <f t="shared" si="1"/>
        <v>50</v>
      </c>
      <c r="B51" s="3" t="s">
        <v>247</v>
      </c>
      <c r="C51" s="1" t="s">
        <v>24</v>
      </c>
      <c r="D51" s="3">
        <v>81.0</v>
      </c>
      <c r="E51" s="3">
        <v>82.0</v>
      </c>
      <c r="F51" s="3">
        <v>78.0</v>
      </c>
      <c r="G51" s="4">
        <f t="shared" si="2"/>
        <v>241</v>
      </c>
      <c r="H51" s="3">
        <v>10.0</v>
      </c>
      <c r="I51" s="3" t="s">
        <v>45</v>
      </c>
      <c r="J51" s="3" t="s">
        <v>183</v>
      </c>
    </row>
    <row r="52" ht="15.75" customHeight="1">
      <c r="A52" s="1">
        <f t="shared" si="1"/>
        <v>51</v>
      </c>
      <c r="B52" s="3" t="s">
        <v>248</v>
      </c>
      <c r="C52" s="1" t="s">
        <v>24</v>
      </c>
      <c r="D52" s="3">
        <v>75.0</v>
      </c>
      <c r="E52" s="3">
        <v>79.0</v>
      </c>
      <c r="F52" s="3">
        <v>81.0</v>
      </c>
      <c r="G52" s="4">
        <f t="shared" si="2"/>
        <v>235</v>
      </c>
      <c r="H52" s="3">
        <v>30.0</v>
      </c>
      <c r="I52" s="3" t="s">
        <v>165</v>
      </c>
      <c r="J52" s="3" t="s">
        <v>249</v>
      </c>
    </row>
    <row r="53" ht="15.75" customHeight="1">
      <c r="A53" s="1">
        <f t="shared" si="1"/>
        <v>52</v>
      </c>
      <c r="B53" s="3" t="s">
        <v>250</v>
      </c>
      <c r="C53" s="1" t="s">
        <v>24</v>
      </c>
      <c r="D53" s="3">
        <v>76.0</v>
      </c>
      <c r="E53" s="3">
        <v>81.0</v>
      </c>
      <c r="F53" s="3">
        <v>81.0</v>
      </c>
      <c r="G53" s="4">
        <f t="shared" si="2"/>
        <v>238</v>
      </c>
      <c r="H53" s="3">
        <v>40.0</v>
      </c>
      <c r="I53" s="3" t="s">
        <v>45</v>
      </c>
      <c r="J53" s="3" t="s">
        <v>103</v>
      </c>
    </row>
    <row r="54" ht="15.75" customHeight="1">
      <c r="A54" s="1">
        <f t="shared" si="1"/>
        <v>53</v>
      </c>
      <c r="B54" s="3" t="s">
        <v>251</v>
      </c>
      <c r="C54" s="1" t="s">
        <v>24</v>
      </c>
      <c r="D54" s="3">
        <v>73.0</v>
      </c>
      <c r="E54" s="3">
        <v>83.0</v>
      </c>
      <c r="F54" s="3">
        <v>84.0</v>
      </c>
      <c r="G54" s="4">
        <f t="shared" si="2"/>
        <v>240</v>
      </c>
      <c r="H54" s="3">
        <v>30.0</v>
      </c>
      <c r="I54" s="3" t="s">
        <v>166</v>
      </c>
      <c r="J54" s="3" t="s">
        <v>78</v>
      </c>
    </row>
    <row r="55" ht="15.75" customHeight="1">
      <c r="A55" s="1">
        <f t="shared" si="1"/>
        <v>54</v>
      </c>
      <c r="B55" s="3" t="s">
        <v>252</v>
      </c>
      <c r="C55" s="1" t="s">
        <v>24</v>
      </c>
      <c r="D55" s="3">
        <v>95.0</v>
      </c>
      <c r="E55" s="3">
        <v>99.0</v>
      </c>
      <c r="F55" s="3">
        <v>97.0</v>
      </c>
      <c r="G55" s="4">
        <f t="shared" si="2"/>
        <v>291</v>
      </c>
      <c r="H55" s="3">
        <v>50.0</v>
      </c>
      <c r="I55" s="3" t="s">
        <v>36</v>
      </c>
      <c r="J55" s="3" t="s">
        <v>253</v>
      </c>
    </row>
    <row r="56" ht="15.75" customHeight="1">
      <c r="A56" s="1">
        <f t="shared" si="1"/>
        <v>55</v>
      </c>
      <c r="B56" s="3" t="s">
        <v>254</v>
      </c>
      <c r="C56" s="1" t="s">
        <v>24</v>
      </c>
      <c r="D56" s="3">
        <v>88.0</v>
      </c>
      <c r="E56" s="3">
        <v>97.0</v>
      </c>
      <c r="F56" s="3">
        <v>83.0</v>
      </c>
      <c r="G56" s="4">
        <f t="shared" si="2"/>
        <v>268</v>
      </c>
      <c r="H56" s="3">
        <v>50.0</v>
      </c>
      <c r="I56" s="3" t="s">
        <v>28</v>
      </c>
      <c r="J56" s="3" t="s">
        <v>183</v>
      </c>
    </row>
    <row r="57" ht="15.75" customHeight="1">
      <c r="A57" s="1">
        <f t="shared" si="1"/>
        <v>56</v>
      </c>
      <c r="B57" s="3" t="s">
        <v>255</v>
      </c>
      <c r="C57" s="1" t="s">
        <v>24</v>
      </c>
      <c r="D57" s="3">
        <v>99.0</v>
      </c>
      <c r="E57" s="3">
        <v>93.0</v>
      </c>
      <c r="F57" s="3">
        <v>91.0</v>
      </c>
      <c r="G57" s="4">
        <f t="shared" si="2"/>
        <v>283</v>
      </c>
      <c r="H57" s="3">
        <v>50.0</v>
      </c>
      <c r="I57" s="3" t="s">
        <v>38</v>
      </c>
      <c r="J57" s="3" t="s">
        <v>256</v>
      </c>
    </row>
    <row r="58" ht="15.75" customHeight="1">
      <c r="A58" s="1">
        <f t="shared" si="1"/>
        <v>57</v>
      </c>
      <c r="B58" s="3" t="s">
        <v>257</v>
      </c>
      <c r="C58" s="1" t="s">
        <v>24</v>
      </c>
      <c r="D58" s="3">
        <v>95.0</v>
      </c>
      <c r="E58" s="3">
        <v>81.0</v>
      </c>
      <c r="F58" s="3">
        <v>86.0</v>
      </c>
      <c r="G58" s="4">
        <f t="shared" si="2"/>
        <v>262</v>
      </c>
      <c r="H58" s="3">
        <v>50.0</v>
      </c>
      <c r="I58" s="3" t="s">
        <v>38</v>
      </c>
      <c r="J58" s="3" t="s">
        <v>258</v>
      </c>
    </row>
    <row r="59" ht="15.75" customHeight="1">
      <c r="A59" s="1">
        <f t="shared" si="1"/>
        <v>58</v>
      </c>
      <c r="B59" s="3" t="s">
        <v>259</v>
      </c>
      <c r="C59" s="1" t="s">
        <v>24</v>
      </c>
      <c r="D59" s="3">
        <v>93.0</v>
      </c>
      <c r="E59" s="3">
        <v>90.0</v>
      </c>
      <c r="F59" s="3">
        <v>89.0</v>
      </c>
      <c r="G59" s="4">
        <f t="shared" si="2"/>
        <v>272</v>
      </c>
      <c r="H59" s="3">
        <v>50.0</v>
      </c>
      <c r="I59" s="3" t="s">
        <v>38</v>
      </c>
      <c r="J59" s="3" t="s">
        <v>260</v>
      </c>
    </row>
    <row r="60" ht="15.75" customHeight="1">
      <c r="A60" s="1">
        <f t="shared" si="1"/>
        <v>59</v>
      </c>
      <c r="B60" s="3" t="s">
        <v>261</v>
      </c>
      <c r="C60" s="1" t="s">
        <v>24</v>
      </c>
      <c r="D60" s="3">
        <v>83.0</v>
      </c>
      <c r="E60" s="3">
        <v>92.0</v>
      </c>
      <c r="F60" s="3">
        <v>90.0</v>
      </c>
      <c r="G60" s="4">
        <f t="shared" si="2"/>
        <v>265</v>
      </c>
      <c r="H60" s="3">
        <v>50.0</v>
      </c>
      <c r="I60" s="3" t="s">
        <v>36</v>
      </c>
      <c r="J60" s="3" t="s">
        <v>52</v>
      </c>
    </row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2" max="2" width="37.25"/>
    <col customWidth="1" min="10" max="10" width="58.63"/>
  </cols>
  <sheetData>
    <row r="1">
      <c r="A1" s="3" t="s">
        <v>0</v>
      </c>
      <c r="B1" s="3" t="s">
        <v>2</v>
      </c>
      <c r="C1" s="3" t="s">
        <v>3</v>
      </c>
      <c r="D1" s="3" t="s">
        <v>5</v>
      </c>
      <c r="E1" s="3" t="s">
        <v>19</v>
      </c>
      <c r="F1" s="3" t="s">
        <v>10</v>
      </c>
      <c r="G1" s="3" t="s">
        <v>11</v>
      </c>
      <c r="H1" s="3" t="s">
        <v>14</v>
      </c>
      <c r="I1" s="3" t="s">
        <v>15</v>
      </c>
      <c r="J1" s="3" t="s">
        <v>16</v>
      </c>
    </row>
    <row r="2">
      <c r="A2" s="4">
        <f t="array" ref="A2:A49">SEQUENCE(48,1)</f>
        <v>1</v>
      </c>
      <c r="B2" s="3" t="s">
        <v>40</v>
      </c>
      <c r="C2" s="3" t="s">
        <v>42</v>
      </c>
      <c r="D2" s="3">
        <v>97.0</v>
      </c>
      <c r="E2" s="3">
        <v>90.0</v>
      </c>
      <c r="F2" s="3">
        <v>92.0</v>
      </c>
      <c r="G2" s="4">
        <f t="shared" ref="G2:G39" si="1">SUM(D2:F2)</f>
        <v>279</v>
      </c>
      <c r="H2" s="3">
        <v>50.0</v>
      </c>
      <c r="I2" s="3" t="s">
        <v>57</v>
      </c>
      <c r="J2" s="3" t="s">
        <v>46</v>
      </c>
    </row>
    <row r="3">
      <c r="A3" s="4">
        <v>2.0</v>
      </c>
      <c r="B3" s="3" t="s">
        <v>59</v>
      </c>
      <c r="C3" s="3" t="s">
        <v>42</v>
      </c>
      <c r="D3" s="3">
        <v>91.0</v>
      </c>
      <c r="E3" s="3">
        <v>88.0</v>
      </c>
      <c r="F3" s="3">
        <v>93.0</v>
      </c>
      <c r="G3" s="4">
        <f t="shared" si="1"/>
        <v>272</v>
      </c>
      <c r="H3" s="3">
        <v>50.0</v>
      </c>
      <c r="I3" s="3" t="s">
        <v>57</v>
      </c>
      <c r="J3" s="3" t="s">
        <v>35</v>
      </c>
    </row>
    <row r="4">
      <c r="A4" s="4">
        <v>3.0</v>
      </c>
      <c r="B4" s="3" t="s">
        <v>68</v>
      </c>
      <c r="C4" s="3" t="s">
        <v>42</v>
      </c>
      <c r="D4" s="3">
        <v>86.0</v>
      </c>
      <c r="E4" s="3">
        <v>91.0</v>
      </c>
      <c r="F4" s="3">
        <v>80.0</v>
      </c>
      <c r="G4" s="4">
        <f t="shared" si="1"/>
        <v>257</v>
      </c>
      <c r="H4" s="3">
        <v>50.0</v>
      </c>
      <c r="I4" s="3" t="s">
        <v>71</v>
      </c>
      <c r="J4" s="3" t="s">
        <v>29</v>
      </c>
    </row>
    <row r="5">
      <c r="A5" s="4">
        <v>4.0</v>
      </c>
      <c r="B5" s="3" t="s">
        <v>75</v>
      </c>
      <c r="C5" s="3" t="s">
        <v>42</v>
      </c>
      <c r="D5" s="3">
        <v>64.0</v>
      </c>
      <c r="E5" s="3">
        <v>92.0</v>
      </c>
      <c r="F5" s="3">
        <v>82.0</v>
      </c>
      <c r="G5" s="4">
        <f t="shared" si="1"/>
        <v>238</v>
      </c>
      <c r="H5" s="3">
        <v>50.0</v>
      </c>
      <c r="I5" s="3" t="s">
        <v>45</v>
      </c>
      <c r="J5" s="3" t="s">
        <v>78</v>
      </c>
    </row>
    <row r="6">
      <c r="A6" s="4">
        <v>5.0</v>
      </c>
      <c r="B6" s="3" t="s">
        <v>80</v>
      </c>
      <c r="C6" s="3" t="s">
        <v>42</v>
      </c>
      <c r="D6" s="3">
        <v>95.0</v>
      </c>
      <c r="E6" s="3">
        <v>84.0</v>
      </c>
      <c r="F6" s="3">
        <v>91.0</v>
      </c>
      <c r="G6" s="4">
        <f t="shared" si="1"/>
        <v>270</v>
      </c>
      <c r="H6" s="3">
        <v>50.0</v>
      </c>
      <c r="I6" s="3" t="s">
        <v>38</v>
      </c>
      <c r="J6" s="3" t="s">
        <v>46</v>
      </c>
    </row>
    <row r="7">
      <c r="A7" s="4">
        <v>6.0</v>
      </c>
      <c r="B7" s="3" t="s">
        <v>86</v>
      </c>
      <c r="C7" s="3" t="s">
        <v>42</v>
      </c>
      <c r="D7" s="3">
        <v>74.0</v>
      </c>
      <c r="E7" s="3">
        <v>89.0</v>
      </c>
      <c r="F7" s="3">
        <v>85.0</v>
      </c>
      <c r="G7" s="4">
        <f t="shared" si="1"/>
        <v>248</v>
      </c>
      <c r="H7" s="3">
        <v>50.0</v>
      </c>
      <c r="I7" s="3" t="s">
        <v>92</v>
      </c>
      <c r="J7" s="3" t="s">
        <v>52</v>
      </c>
    </row>
    <row r="8">
      <c r="A8" s="4">
        <v>7.0</v>
      </c>
      <c r="B8" s="3" t="s">
        <v>93</v>
      </c>
      <c r="C8" s="3" t="s">
        <v>42</v>
      </c>
      <c r="D8" s="3">
        <v>81.0</v>
      </c>
      <c r="E8" s="3">
        <v>88.0</v>
      </c>
      <c r="F8" s="3">
        <v>84.0</v>
      </c>
      <c r="G8" s="4">
        <f t="shared" si="1"/>
        <v>253</v>
      </c>
      <c r="H8" s="3">
        <v>30.0</v>
      </c>
      <c r="I8" s="3" t="s">
        <v>87</v>
      </c>
      <c r="J8" s="3" t="s">
        <v>50</v>
      </c>
    </row>
    <row r="9">
      <c r="A9" s="4">
        <v>8.0</v>
      </c>
      <c r="B9" s="3" t="s">
        <v>98</v>
      </c>
      <c r="C9" s="3" t="s">
        <v>42</v>
      </c>
      <c r="D9" s="3">
        <v>83.0</v>
      </c>
      <c r="E9" s="3">
        <v>89.0</v>
      </c>
      <c r="F9" s="3">
        <v>85.0</v>
      </c>
      <c r="G9" s="4">
        <f t="shared" si="1"/>
        <v>257</v>
      </c>
      <c r="H9" s="3">
        <v>20.0</v>
      </c>
      <c r="I9" s="3" t="s">
        <v>104</v>
      </c>
      <c r="J9" s="3" t="s">
        <v>105</v>
      </c>
    </row>
    <row r="10">
      <c r="A10" s="4">
        <v>9.0</v>
      </c>
      <c r="B10" s="3" t="s">
        <v>107</v>
      </c>
      <c r="C10" s="3" t="s">
        <v>42</v>
      </c>
      <c r="D10" s="3">
        <v>84.0</v>
      </c>
      <c r="E10" s="3">
        <v>82.0</v>
      </c>
      <c r="F10" s="3">
        <v>88.0</v>
      </c>
      <c r="G10" s="4">
        <f t="shared" si="1"/>
        <v>254</v>
      </c>
      <c r="H10" s="3">
        <v>20.0</v>
      </c>
      <c r="I10" s="3" t="s">
        <v>45</v>
      </c>
      <c r="J10" s="3" t="s">
        <v>43</v>
      </c>
    </row>
    <row r="11">
      <c r="A11" s="4">
        <v>10.0</v>
      </c>
      <c r="B11" s="3" t="s">
        <v>112</v>
      </c>
      <c r="C11" s="3" t="s">
        <v>42</v>
      </c>
      <c r="D11" s="3">
        <v>86.0</v>
      </c>
      <c r="E11" s="3">
        <v>80.0</v>
      </c>
      <c r="F11" s="3">
        <v>88.0</v>
      </c>
      <c r="G11" s="4">
        <f t="shared" si="1"/>
        <v>254</v>
      </c>
      <c r="H11" s="3">
        <v>10.0</v>
      </c>
      <c r="I11" s="3" t="s">
        <v>115</v>
      </c>
      <c r="J11" s="3" t="s">
        <v>116</v>
      </c>
    </row>
    <row r="12">
      <c r="A12" s="4">
        <v>11.0</v>
      </c>
      <c r="B12" s="3" t="s">
        <v>119</v>
      </c>
      <c r="C12" s="3" t="s">
        <v>42</v>
      </c>
      <c r="D12" s="3">
        <v>85.0</v>
      </c>
      <c r="E12" s="3">
        <v>87.0</v>
      </c>
      <c r="F12" s="3">
        <v>87.0</v>
      </c>
      <c r="G12" s="4">
        <f t="shared" si="1"/>
        <v>259</v>
      </c>
      <c r="H12" s="3">
        <v>30.0</v>
      </c>
      <c r="I12" s="3" t="s">
        <v>87</v>
      </c>
      <c r="J12" s="3" t="s">
        <v>122</v>
      </c>
    </row>
    <row r="13">
      <c r="A13" s="4">
        <v>12.0</v>
      </c>
      <c r="B13" s="3" t="s">
        <v>126</v>
      </c>
      <c r="C13" s="3" t="s">
        <v>42</v>
      </c>
      <c r="D13" s="3">
        <v>90.0</v>
      </c>
      <c r="E13" s="3">
        <v>86.0</v>
      </c>
      <c r="F13" s="3">
        <v>81.0</v>
      </c>
      <c r="G13" s="4">
        <f t="shared" si="1"/>
        <v>257</v>
      </c>
      <c r="H13" s="3">
        <v>10.0</v>
      </c>
      <c r="I13" s="3" t="s">
        <v>104</v>
      </c>
      <c r="J13" s="3" t="s">
        <v>43</v>
      </c>
    </row>
    <row r="14">
      <c r="A14" s="4">
        <v>13.0</v>
      </c>
      <c r="B14" s="3" t="s">
        <v>130</v>
      </c>
      <c r="C14" s="3" t="s">
        <v>42</v>
      </c>
      <c r="D14" s="3">
        <v>92.0</v>
      </c>
      <c r="E14" s="3">
        <v>84.0</v>
      </c>
      <c r="F14" s="3">
        <v>81.0</v>
      </c>
      <c r="G14" s="4">
        <f t="shared" si="1"/>
        <v>257</v>
      </c>
      <c r="H14" s="3">
        <v>10.0</v>
      </c>
      <c r="I14" s="3" t="s">
        <v>132</v>
      </c>
      <c r="J14" s="3" t="s">
        <v>133</v>
      </c>
    </row>
    <row r="15">
      <c r="A15" s="4">
        <v>14.0</v>
      </c>
      <c r="B15" s="3" t="s">
        <v>135</v>
      </c>
      <c r="C15" s="3" t="s">
        <v>42</v>
      </c>
      <c r="D15" s="3">
        <v>78.0</v>
      </c>
      <c r="E15" s="3">
        <v>85.0</v>
      </c>
      <c r="F15" s="3">
        <v>90.0</v>
      </c>
      <c r="G15" s="4">
        <f t="shared" si="1"/>
        <v>253</v>
      </c>
      <c r="H15" s="3">
        <v>60.0</v>
      </c>
      <c r="I15" s="3" t="s">
        <v>87</v>
      </c>
      <c r="J15" s="3" t="s">
        <v>139</v>
      </c>
    </row>
    <row r="16">
      <c r="A16" s="4">
        <v>15.0</v>
      </c>
      <c r="B16" s="3" t="s">
        <v>141</v>
      </c>
      <c r="C16" s="3" t="s">
        <v>42</v>
      </c>
      <c r="D16" s="3">
        <v>77.0</v>
      </c>
      <c r="E16" s="3">
        <v>86.0</v>
      </c>
      <c r="F16" s="3">
        <v>88.0</v>
      </c>
      <c r="G16" s="4">
        <f t="shared" si="1"/>
        <v>251</v>
      </c>
      <c r="H16" s="3">
        <v>50.0</v>
      </c>
      <c r="I16" s="3" t="s">
        <v>57</v>
      </c>
      <c r="J16" s="3" t="s">
        <v>122</v>
      </c>
    </row>
    <row r="17">
      <c r="A17" s="4">
        <v>16.0</v>
      </c>
      <c r="B17" s="3" t="s">
        <v>146</v>
      </c>
      <c r="C17" s="3" t="s">
        <v>42</v>
      </c>
      <c r="D17" s="3">
        <v>85.0</v>
      </c>
      <c r="E17" s="3">
        <v>88.0</v>
      </c>
      <c r="F17" s="3">
        <v>79.0</v>
      </c>
      <c r="G17" s="4">
        <f t="shared" si="1"/>
        <v>252</v>
      </c>
      <c r="H17" s="3">
        <v>60.0</v>
      </c>
      <c r="I17" s="3" t="s">
        <v>63</v>
      </c>
      <c r="J17" s="3" t="s">
        <v>149</v>
      </c>
    </row>
    <row r="18">
      <c r="A18" s="4">
        <v>17.0</v>
      </c>
      <c r="B18" s="3" t="s">
        <v>151</v>
      </c>
      <c r="C18" s="3" t="s">
        <v>42</v>
      </c>
      <c r="D18" s="3">
        <v>83.0</v>
      </c>
      <c r="E18" s="3">
        <v>80.0</v>
      </c>
      <c r="F18" s="3">
        <v>90.0</v>
      </c>
      <c r="G18" s="4">
        <f t="shared" si="1"/>
        <v>253</v>
      </c>
      <c r="H18" s="3">
        <v>10.0</v>
      </c>
      <c r="I18" s="3" t="s">
        <v>57</v>
      </c>
      <c r="J18" s="3" t="s">
        <v>116</v>
      </c>
    </row>
    <row r="19">
      <c r="A19" s="4">
        <v>18.0</v>
      </c>
      <c r="B19" s="3" t="s">
        <v>155</v>
      </c>
      <c r="C19" s="3" t="s">
        <v>42</v>
      </c>
      <c r="D19" s="3">
        <v>86.0</v>
      </c>
      <c r="E19" s="3">
        <v>83.0</v>
      </c>
      <c r="F19" s="3">
        <v>82.0</v>
      </c>
      <c r="G19" s="4">
        <f t="shared" si="1"/>
        <v>251</v>
      </c>
      <c r="H19" s="3">
        <v>5.0</v>
      </c>
      <c r="I19" s="3" t="s">
        <v>57</v>
      </c>
      <c r="J19" s="3" t="s">
        <v>50</v>
      </c>
    </row>
    <row r="20">
      <c r="A20" s="4">
        <v>19.0</v>
      </c>
      <c r="B20" s="3" t="s">
        <v>164</v>
      </c>
      <c r="C20" s="3" t="s">
        <v>42</v>
      </c>
      <c r="D20" s="3">
        <v>84.0</v>
      </c>
      <c r="E20" s="3">
        <v>84.0</v>
      </c>
      <c r="F20" s="3">
        <v>83.0</v>
      </c>
      <c r="G20" s="4">
        <f t="shared" si="1"/>
        <v>251</v>
      </c>
      <c r="H20" s="3">
        <v>30.0</v>
      </c>
      <c r="I20" s="3" t="s">
        <v>166</v>
      </c>
      <c r="J20" s="3" t="s">
        <v>167</v>
      </c>
    </row>
    <row r="21">
      <c r="A21" s="4">
        <v>20.0</v>
      </c>
      <c r="B21" s="3" t="s">
        <v>170</v>
      </c>
      <c r="C21" s="3" t="s">
        <v>42</v>
      </c>
      <c r="D21" s="3">
        <v>81.0</v>
      </c>
      <c r="E21" s="3">
        <v>81.0</v>
      </c>
      <c r="F21" s="3">
        <v>89.0</v>
      </c>
      <c r="G21" s="4">
        <f t="shared" si="1"/>
        <v>251</v>
      </c>
      <c r="H21" s="3">
        <v>30.0</v>
      </c>
      <c r="I21" s="3" t="s">
        <v>45</v>
      </c>
      <c r="J21" s="3" t="s">
        <v>29</v>
      </c>
    </row>
    <row r="22">
      <c r="A22" s="4">
        <v>21.0</v>
      </c>
      <c r="B22" s="3" t="s">
        <v>174</v>
      </c>
      <c r="C22" s="3" t="s">
        <v>42</v>
      </c>
      <c r="D22" s="3">
        <v>75.0</v>
      </c>
      <c r="E22" s="3">
        <v>84.0</v>
      </c>
      <c r="F22" s="3">
        <v>83.0</v>
      </c>
      <c r="G22" s="4">
        <f t="shared" si="1"/>
        <v>242</v>
      </c>
      <c r="H22" s="3">
        <v>40.0</v>
      </c>
      <c r="I22" s="3" t="s">
        <v>57</v>
      </c>
      <c r="J22" s="3" t="s">
        <v>176</v>
      </c>
    </row>
    <row r="23">
      <c r="A23" s="4">
        <v>22.0</v>
      </c>
      <c r="B23" s="3" t="s">
        <v>179</v>
      </c>
      <c r="C23" s="3" t="s">
        <v>42</v>
      </c>
      <c r="D23" s="3">
        <v>88.0</v>
      </c>
      <c r="E23" s="3">
        <v>80.0</v>
      </c>
      <c r="F23" s="3">
        <v>87.0</v>
      </c>
      <c r="G23" s="4">
        <f t="shared" si="1"/>
        <v>255</v>
      </c>
      <c r="H23" s="3">
        <v>30.0</v>
      </c>
      <c r="I23" s="3" t="s">
        <v>38</v>
      </c>
      <c r="J23" s="3" t="s">
        <v>46</v>
      </c>
    </row>
    <row r="24">
      <c r="A24" s="4">
        <v>23.0</v>
      </c>
      <c r="B24" s="3" t="s">
        <v>182</v>
      </c>
      <c r="C24" s="3" t="s">
        <v>42</v>
      </c>
      <c r="D24" s="3">
        <v>93.0</v>
      </c>
      <c r="E24" s="3">
        <v>78.0</v>
      </c>
      <c r="F24" s="3">
        <v>86.0</v>
      </c>
      <c r="G24" s="4">
        <f t="shared" si="1"/>
        <v>257</v>
      </c>
      <c r="H24" s="3">
        <v>20.0</v>
      </c>
      <c r="I24" s="3" t="s">
        <v>63</v>
      </c>
      <c r="J24" s="3" t="s">
        <v>183</v>
      </c>
    </row>
    <row r="25">
      <c r="A25" s="4">
        <v>24.0</v>
      </c>
      <c r="B25" s="3" t="s">
        <v>186</v>
      </c>
      <c r="C25" s="3" t="s">
        <v>42</v>
      </c>
      <c r="D25" s="3">
        <v>79.0</v>
      </c>
      <c r="E25" s="3">
        <v>82.0</v>
      </c>
      <c r="F25" s="3">
        <v>75.0</v>
      </c>
      <c r="G25" s="4">
        <f t="shared" si="1"/>
        <v>236</v>
      </c>
      <c r="H25" s="3">
        <v>30.0</v>
      </c>
      <c r="I25" s="3" t="s">
        <v>47</v>
      </c>
      <c r="J25" s="3" t="s">
        <v>110</v>
      </c>
    </row>
    <row r="26">
      <c r="A26" s="4">
        <v>25.0</v>
      </c>
      <c r="B26" s="3" t="s">
        <v>189</v>
      </c>
      <c r="C26" s="3" t="s">
        <v>42</v>
      </c>
      <c r="D26" s="3">
        <v>90.0</v>
      </c>
      <c r="E26" s="3">
        <v>77.0</v>
      </c>
      <c r="F26" s="3">
        <v>84.0</v>
      </c>
      <c r="G26" s="4">
        <f t="shared" si="1"/>
        <v>251</v>
      </c>
      <c r="H26" s="3">
        <v>5.0</v>
      </c>
      <c r="I26" s="3" t="s">
        <v>57</v>
      </c>
      <c r="J26" s="3" t="s">
        <v>116</v>
      </c>
    </row>
    <row r="27">
      <c r="A27" s="4">
        <v>26.0</v>
      </c>
      <c r="B27" s="3" t="s">
        <v>194</v>
      </c>
      <c r="C27" s="3" t="s">
        <v>42</v>
      </c>
      <c r="D27" s="3">
        <v>77.0</v>
      </c>
      <c r="E27" s="3">
        <v>82.0</v>
      </c>
      <c r="F27" s="3">
        <v>76.0</v>
      </c>
      <c r="G27" s="4">
        <f t="shared" si="1"/>
        <v>235</v>
      </c>
      <c r="H27" s="3">
        <v>5.0</v>
      </c>
      <c r="I27" s="3" t="s">
        <v>71</v>
      </c>
      <c r="J27" s="3" t="s">
        <v>122</v>
      </c>
    </row>
    <row r="28">
      <c r="A28" s="4">
        <v>27.0</v>
      </c>
      <c r="B28" s="3" t="s">
        <v>196</v>
      </c>
      <c r="C28" s="3" t="s">
        <v>42</v>
      </c>
      <c r="D28" s="3">
        <v>83.0</v>
      </c>
      <c r="E28" s="3">
        <v>81.0</v>
      </c>
      <c r="F28" s="3">
        <v>83.0</v>
      </c>
      <c r="G28" s="4">
        <f t="shared" si="1"/>
        <v>247</v>
      </c>
      <c r="H28" s="3">
        <v>20.0</v>
      </c>
      <c r="I28" s="3" t="s">
        <v>36</v>
      </c>
      <c r="J28" s="3" t="s">
        <v>52</v>
      </c>
    </row>
    <row r="29">
      <c r="A29" s="4">
        <v>28.0</v>
      </c>
      <c r="B29" s="3" t="s">
        <v>198</v>
      </c>
      <c r="C29" s="3" t="s">
        <v>42</v>
      </c>
      <c r="D29" s="3">
        <v>72.0</v>
      </c>
      <c r="E29" s="3">
        <v>79.0</v>
      </c>
      <c r="F29" s="3">
        <v>81.0</v>
      </c>
      <c r="G29" s="4">
        <f t="shared" si="1"/>
        <v>232</v>
      </c>
      <c r="H29" s="3">
        <v>5.0</v>
      </c>
      <c r="I29" s="3" t="s">
        <v>64</v>
      </c>
      <c r="J29" s="3" t="s">
        <v>43</v>
      </c>
    </row>
    <row r="30">
      <c r="A30" s="4">
        <v>29.0</v>
      </c>
      <c r="B30" s="3" t="s">
        <v>203</v>
      </c>
      <c r="C30" s="3" t="s">
        <v>42</v>
      </c>
      <c r="D30" s="3">
        <v>73.0</v>
      </c>
      <c r="E30" s="3">
        <v>80.0</v>
      </c>
      <c r="F30" s="3">
        <v>85.0</v>
      </c>
      <c r="G30" s="4">
        <f t="shared" si="1"/>
        <v>238</v>
      </c>
      <c r="H30" s="3">
        <v>40.0</v>
      </c>
      <c r="I30" s="3" t="s">
        <v>87</v>
      </c>
      <c r="J30" s="3" t="s">
        <v>206</v>
      </c>
    </row>
    <row r="31">
      <c r="A31" s="4">
        <v>30.0</v>
      </c>
      <c r="B31" s="3" t="s">
        <v>207</v>
      </c>
      <c r="C31" s="3" t="s">
        <v>42</v>
      </c>
      <c r="D31" s="3">
        <v>82.0</v>
      </c>
      <c r="E31" s="3">
        <v>83.0</v>
      </c>
      <c r="F31" s="3">
        <v>78.0</v>
      </c>
      <c r="G31" s="4">
        <f t="shared" si="1"/>
        <v>243</v>
      </c>
      <c r="H31" s="3">
        <v>20.0</v>
      </c>
      <c r="I31" s="3" t="s">
        <v>210</v>
      </c>
      <c r="J31" s="3" t="s">
        <v>211</v>
      </c>
    </row>
    <row r="32">
      <c r="A32" s="4">
        <v>31.0</v>
      </c>
      <c r="B32" s="3" t="s">
        <v>212</v>
      </c>
      <c r="C32" s="3" t="s">
        <v>42</v>
      </c>
      <c r="D32" s="3">
        <v>83.0</v>
      </c>
      <c r="E32" s="3">
        <v>80.0</v>
      </c>
      <c r="F32" s="3">
        <v>78.0</v>
      </c>
      <c r="G32" s="4">
        <f t="shared" si="1"/>
        <v>241</v>
      </c>
      <c r="H32" s="3">
        <v>10.0</v>
      </c>
      <c r="I32" s="3" t="s">
        <v>53</v>
      </c>
      <c r="J32" s="3" t="s">
        <v>127</v>
      </c>
    </row>
    <row r="33">
      <c r="A33" s="4">
        <v>32.0</v>
      </c>
      <c r="B33" s="3" t="s">
        <v>215</v>
      </c>
      <c r="C33" s="3" t="s">
        <v>42</v>
      </c>
      <c r="D33" s="3">
        <v>79.0</v>
      </c>
      <c r="E33" s="3">
        <v>73.0</v>
      </c>
      <c r="F33" s="3">
        <v>87.0</v>
      </c>
      <c r="G33" s="4">
        <f t="shared" si="1"/>
        <v>239</v>
      </c>
      <c r="H33" s="3">
        <v>20.0</v>
      </c>
      <c r="I33" s="3" t="s">
        <v>45</v>
      </c>
      <c r="J33" s="3" t="s">
        <v>190</v>
      </c>
    </row>
    <row r="34">
      <c r="A34" s="4">
        <v>33.0</v>
      </c>
      <c r="B34" s="3" t="s">
        <v>219</v>
      </c>
      <c r="C34" s="3" t="s">
        <v>42</v>
      </c>
      <c r="D34" s="3">
        <v>53.0</v>
      </c>
      <c r="E34" s="3">
        <v>82.0</v>
      </c>
      <c r="F34" s="3">
        <v>76.0</v>
      </c>
      <c r="G34" s="4">
        <f t="shared" si="1"/>
        <v>211</v>
      </c>
      <c r="H34" s="3">
        <v>50.0</v>
      </c>
      <c r="I34" s="3" t="s">
        <v>84</v>
      </c>
      <c r="J34" s="3" t="s">
        <v>139</v>
      </c>
    </row>
    <row r="35">
      <c r="A35" s="4">
        <v>34.0</v>
      </c>
      <c r="B35" s="3" t="s">
        <v>225</v>
      </c>
      <c r="C35" s="3" t="s">
        <v>42</v>
      </c>
      <c r="D35" s="3">
        <v>90.0</v>
      </c>
      <c r="E35" s="3">
        <v>77.0</v>
      </c>
      <c r="F35" s="3">
        <v>91.0</v>
      </c>
      <c r="G35" s="4">
        <f t="shared" si="1"/>
        <v>258</v>
      </c>
      <c r="H35" s="3">
        <v>60.0</v>
      </c>
      <c r="I35" s="3" t="s">
        <v>38</v>
      </c>
      <c r="J35" s="3" t="s">
        <v>227</v>
      </c>
    </row>
    <row r="36">
      <c r="A36" s="4">
        <v>35.0</v>
      </c>
      <c r="B36" s="3" t="s">
        <v>229</v>
      </c>
      <c r="C36" s="3" t="s">
        <v>42</v>
      </c>
      <c r="D36" s="3">
        <v>91.0</v>
      </c>
      <c r="E36" s="3">
        <v>89.0</v>
      </c>
      <c r="F36" s="3">
        <v>95.0</v>
      </c>
      <c r="G36" s="4">
        <f t="shared" si="1"/>
        <v>275</v>
      </c>
      <c r="H36" s="3">
        <v>50.0</v>
      </c>
      <c r="I36" s="3" t="s">
        <v>38</v>
      </c>
      <c r="J36" s="3" t="s">
        <v>230</v>
      </c>
    </row>
    <row r="37">
      <c r="A37" s="4">
        <v>36.0</v>
      </c>
      <c r="B37" s="3" t="s">
        <v>232</v>
      </c>
      <c r="C37" s="3" t="s">
        <v>42</v>
      </c>
      <c r="D37" s="3">
        <v>95.0</v>
      </c>
      <c r="E37" s="3">
        <v>89.0</v>
      </c>
      <c r="F37" s="3">
        <v>89.0</v>
      </c>
      <c r="G37" s="4">
        <f t="shared" si="1"/>
        <v>273</v>
      </c>
      <c r="H37" s="3">
        <v>50.0</v>
      </c>
      <c r="I37" s="3" t="s">
        <v>233</v>
      </c>
      <c r="J37" s="3" t="s">
        <v>234</v>
      </c>
    </row>
    <row r="38">
      <c r="A38" s="4">
        <v>37.0</v>
      </c>
      <c r="B38" s="3" t="s">
        <v>237</v>
      </c>
      <c r="C38" s="3" t="s">
        <v>42</v>
      </c>
      <c r="D38" s="3">
        <v>88.0</v>
      </c>
      <c r="E38" s="3">
        <v>90.0</v>
      </c>
      <c r="F38" s="3">
        <v>86.0</v>
      </c>
      <c r="G38" s="4">
        <f t="shared" si="1"/>
        <v>264</v>
      </c>
      <c r="H38" s="3">
        <v>50.0</v>
      </c>
      <c r="I38" s="3" t="s">
        <v>45</v>
      </c>
      <c r="J38" s="3" t="s">
        <v>239</v>
      </c>
    </row>
    <row r="39">
      <c r="A39" s="4">
        <v>38.0</v>
      </c>
      <c r="B39" s="3" t="s">
        <v>240</v>
      </c>
      <c r="C39" s="3" t="s">
        <v>42</v>
      </c>
      <c r="D39" s="3">
        <v>93.0</v>
      </c>
      <c r="E39" s="3">
        <v>90.0</v>
      </c>
      <c r="F39" s="3">
        <v>89.0</v>
      </c>
      <c r="G39" s="4">
        <f t="shared" si="1"/>
        <v>272</v>
      </c>
      <c r="H39" s="3">
        <v>50.0</v>
      </c>
      <c r="I39" s="3" t="s">
        <v>57</v>
      </c>
      <c r="J39" s="3" t="s">
        <v>242</v>
      </c>
    </row>
    <row r="40">
      <c r="A40" s="4">
        <v>39.0</v>
      </c>
    </row>
    <row r="41">
      <c r="A41" s="4">
        <v>40.0</v>
      </c>
    </row>
    <row r="42">
      <c r="A42" s="4">
        <v>41.0</v>
      </c>
    </row>
    <row r="43">
      <c r="A43" s="4">
        <v>42.0</v>
      </c>
    </row>
    <row r="44">
      <c r="A44" s="4">
        <v>43.0</v>
      </c>
    </row>
    <row r="45">
      <c r="A45" s="4">
        <v>44.0</v>
      </c>
    </row>
    <row r="46">
      <c r="A46" s="4">
        <v>45.0</v>
      </c>
    </row>
    <row r="47">
      <c r="A47" s="4">
        <v>46.0</v>
      </c>
    </row>
    <row r="48">
      <c r="A48" s="4">
        <v>47.0</v>
      </c>
    </row>
    <row r="49">
      <c r="A49" s="4">
        <v>48.0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